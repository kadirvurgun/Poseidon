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9d79191ba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Gate" sheetId="1" r:id="Rb695d1b7b2d34e42"/>
    <x:sheet xmlns:r="http://schemas.openxmlformats.org/officeDocument/2006/relationships" name="Sign-off Matrix" sheetId="2" r:id="R4a3814c9791f43b2"/>
    <x:sheet xmlns:r="http://schemas.openxmlformats.org/officeDocument/2006/relationships" name="Ship Pilot" sheetId="3" r:id="Rc532081bea714da2"/>
    <x:sheet xmlns:r="http://schemas.openxmlformats.org/officeDocument/2006/relationships" name="Tug Pilot" sheetId="4" r:id="R6dd5b16cdbff4993"/>
    <x:sheet xmlns:r="http://schemas.openxmlformats.org/officeDocument/2006/relationships" name="Pilot KPI" sheetId="5" r:id="R51ea7e987f9c4e34"/>
    <x:sheet xmlns:r="http://schemas.openxmlformats.org/officeDocument/2006/relationships" name="Defect &amp; Decision Log" sheetId="6" r:id="R41878274d6bb4d87"/>
    <x:sheet xmlns:r="http://schemas.openxmlformats.org/officeDocument/2006/relationships" name="Evidence Register" sheetId="7" r:id="R230c2694ab414d93"/>
    <x:sheet xmlns:r="http://schemas.openxmlformats.org/officeDocument/2006/relationships" name="Final Freeze Decision" sheetId="8" r:id="R1f3ba5ed2fb14529"/>
    <x:sheet xmlns:r="http://schemas.openxmlformats.org/officeDocument/2006/relationships" name="Dashboard" sheetId="9" r:id="R57146317df57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6bfefd220427c" /><Relationship Type="http://schemas.openxmlformats.org/officeDocument/2006/relationships/theme" Target="/xl/theme/theme1.xml" Id="R9a15e1132a7b401e" /><Relationship Type="http://schemas.openxmlformats.org/officeDocument/2006/relationships/sharedStrings" Target="/xl/sharedStrings.xml" Id="R552ac5780b5a4ec8" /><Relationship Type="http://schemas.openxmlformats.org/officeDocument/2006/relationships/worksheet" Target="/xl/worksheets/sheet1.xml" Id="Rb695d1b7b2d34e42" /><Relationship Type="http://schemas.openxmlformats.org/officeDocument/2006/relationships/worksheet" Target="/xl/worksheets/sheet2.xml" Id="R4a3814c9791f43b2" /><Relationship Type="http://schemas.openxmlformats.org/officeDocument/2006/relationships/worksheet" Target="/xl/worksheets/sheet3.xml" Id="Rc532081bea714da2" /><Relationship Type="http://schemas.openxmlformats.org/officeDocument/2006/relationships/worksheet" Target="/xl/worksheets/sheet4.xml" Id="R6dd5b16cdbff4993" /><Relationship Type="http://schemas.openxmlformats.org/officeDocument/2006/relationships/worksheet" Target="/xl/worksheets/sheet5.xml" Id="R51ea7e987f9c4e34" /><Relationship Type="http://schemas.openxmlformats.org/officeDocument/2006/relationships/worksheet" Target="/xl/worksheets/sheet6.xml" Id="R41878274d6bb4d87" /><Relationship Type="http://schemas.openxmlformats.org/officeDocument/2006/relationships/worksheet" Target="/xl/worksheets/sheet7.xml" Id="R230c2694ab414d93" /><Relationship Type="http://schemas.openxmlformats.org/officeDocument/2006/relationships/worksheet" Target="/xl/worksheets/sheet8.xml" Id="R1f3ba5ed2fb14529" /><Relationship Type="http://schemas.openxmlformats.org/officeDocument/2006/relationships/worksheet" Target="/xl/worksheets/sheet9.xml" Id="R57146317df5740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72060e679443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Gate / UAT Progress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Değer</c:v>
          </c:tx>
          <c:cat>
            <c:strRef>
              <c:f>'Dashboard'!$A$4:$A$7</c:f>
              <c:strCache>
                <c:ptCount val="0"/>
              </c:strCache>
            </c:strRef>
          </c:cat>
          <c:val>
            <c:numRef>
              <c:f>'Dashboard'!$B$4:$B$7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72060e679443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c602ed9bcc5a4402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40" hidden="0" customWidth="1"/>
    <x:col min="4" max="4" width="34" hidden="0" customWidth="1"/>
    <x:col min="5" max="5" width="30" hidden="0" customWidth="1"/>
    <x:col min="6" max="6" width="16" hidden="0" customWidth="1"/>
    <x:col min="7" max="7" width="26" hidden="0" customWidth="1"/>
    <x:col min="8" max="8" width="45" hidden="0" customWidth="1"/>
  </x:cols>
  <x:sheetData>
    <x:row r="1">
      <x:c r="A1" s="16" t="str">
        <x:v>POSEIDON v46.3 — Pilot, Sign-off ve Final Freeze Execution Workbook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Gate</x:v>
      </x:c>
      <x:c r="B2" s="11" t="str">
        <x:v>Owner</x:v>
      </x:c>
      <x:c r="C2" s="11" t="str">
        <x:v>Prerequisite</x:v>
      </x:c>
      <x:c r="D2" s="11" t="str">
        <x:v>Evidence</x:v>
      </x:c>
      <x:c r="E2" s="11" t="str">
        <x:v>Decision</x:v>
      </x:c>
      <x:c r="F2" s="11" t="str">
        <x:v>Status</x:v>
      </x:c>
      <x:c r="G2" s="11" t="str">
        <x:v>Release Impact</x:v>
      </x:c>
      <x:c r="H2" s="11" t="str">
        <x:v>Note</x:v>
      </x:c>
    </x:row>
    <x:row r="3">
      <x:c r="A3" s="17" t="str">
        <x:v>G01 Product/BA Freeze</x:v>
      </x:c>
      <x:c r="B3" s="17" t="str">
        <x:v>PO + BA Lead</x:v>
      </x:c>
      <x:c r="C3" s="17" t="str">
        <x:v>v46.3 Master Spec + PRD + Trace</x:v>
      </x:c>
      <x:c r="D3" s="17" t="str">
        <x:v>Signed review</x:v>
      </x:c>
      <x:c r="E3" s="17" t="str">
        <x:v>APPROVE / CONDITIONAL / REJECT</x:v>
      </x:c>
      <x:c r="F3" s="17" t="str">
        <x:v>OPEN</x:v>
      </x:c>
      <x:c r="G3" s="17" t="str">
        <x:v>Blocks FINAL baseline</x:v>
      </x:c>
      <x:c r="H3" s="17" t="str">
        <x:v>196 screen / 2.316 field candidate</x:v>
      </x:c>
    </x:row>
    <x:row r="4">
      <x:c r="A4" s="17" t="str">
        <x:v>G02 Marine SME</x:v>
      </x:c>
      <x:c r="B4" s="17" t="str">
        <x:v>Master/Marine Superintendent</x:v>
      </x:c>
      <x:c r="C4" s="17" t="str">
        <x:v>Ship workflows</x:v>
      </x:c>
      <x:c r="D4" s="17" t="str">
        <x:v>Review record</x:v>
      </x:c>
      <x:c r="E4" s="17" t="str">
        <x:v>APPROVE / CONDITIONAL / REJECT</x:v>
      </x:c>
      <x:c r="F4" s="17" t="str">
        <x:v>OPEN</x:v>
      </x:c>
      <x:c r="G4" s="17" t="str">
        <x:v>Blocks Ship pilot</x:v>
      </x:c>
      <x:c r="H4" s="17" t="str">
        <x:v>Noon/log/fuel/SOF/downtime</x:v>
      </x:c>
    </x:row>
    <x:row r="5">
      <x:c r="A5" s="17" t="str">
        <x:v>G03 Tug SME</x:v>
      </x:c>
      <x:c r="B5" s="17" t="str">
        <x:v>Tug Master/Ops SME</x:v>
      </x:c>
      <x:c r="C5" s="17" t="str">
        <x:v>Tug end-to-end</x:v>
      </x:c>
      <x:c r="D5" s="17" t="str">
        <x:v>Review record</x:v>
      </x:c>
      <x:c r="E5" s="17" t="str">
        <x:v>APPROVE / CONDITIONAL / REJECT</x:v>
      </x:c>
      <x:c r="F5" s="17" t="str">
        <x:v>OPEN</x:v>
      </x:c>
      <x:c r="G5" s="17" t="str">
        <x:v>Blocks Tug pilot</x:v>
      </x:c>
      <x:c r="H5" s="17" t="str">
        <x:v>Tug lifecycle retained</x:v>
      </x:c>
    </x:row>
    <x:row r="6">
      <x:c r="A6" s="17" t="str">
        <x:v>G04 Regulatory</x:v>
      </x:c>
      <x:c r="B6" s="17" t="str">
        <x:v>Regulatory SME</x:v>
      </x:c>
      <x:c r="C6" s="17" t="str">
        <x:v>Legal register + applicability</x:v>
      </x:c>
      <x:c r="D6" s="17" t="str">
        <x:v>Rule/source review</x:v>
      </x:c>
      <x:c r="E6" s="17" t="str">
        <x:v>APPROVE / CONDITIONAL / REJECT</x:v>
      </x:c>
      <x:c r="F6" s="17" t="str">
        <x:v>OPEN</x:v>
      </x:c>
      <x:c r="G6" s="17" t="str">
        <x:v>Blocks compliance claim</x:v>
      </x:c>
      <x:c r="H6" s="17" t="str">
        <x:v>P0 rules only</x:v>
      </x:c>
    </x:row>
    <x:row r="7">
      <x:c r="A7" s="17" t="str">
        <x:v>G05 Class/Technical</x:v>
      </x:c>
      <x:c r="B7" s="17" t="str">
        <x:v>Class/Technical SME</x:v>
      </x:c>
      <x:c r="C7" s="17" t="str">
        <x:v>PMS/equipment/cert/survey</x:v>
      </x:c>
      <x:c r="D7" s="17" t="str">
        <x:v>Class review</x:v>
      </x:c>
      <x:c r="E7" s="17" t="str">
        <x:v>APPROVE / CONDITIONAL / REJECT</x:v>
      </x:c>
      <x:c r="F7" s="17" t="str">
        <x:v>OPEN</x:v>
      </x:c>
      <x:c r="G7" s="17" t="str">
        <x:v>Blocks technical release</x:v>
      </x:c>
      <x:c r="H7" s="17" t="str">
        <x:v>Class approval roadmap separate</x:v>
      </x:c>
    </x:row>
    <x:row r="8">
      <x:c r="A8" s="17" t="str">
        <x:v>G06 QA/UAT</x:v>
      </x:c>
      <x:c r="B8" s="17" t="str">
        <x:v>QA Lead</x:v>
      </x:c>
      <x:c r="C8" s="17" t="str">
        <x:v>Trace + E2E tests</x:v>
      </x:c>
      <x:c r="D8" s="17" t="str">
        <x:v>Test report</x:v>
      </x:c>
      <x:c r="E8" s="17" t="str">
        <x:v>GO / CONDITIONAL / NO-GO</x:v>
      </x:c>
      <x:c r="F8" s="17" t="str">
        <x:v>OPEN</x:v>
      </x:c>
      <x:c r="G8" s="17" t="str">
        <x:v>Blocks pilot exit</x:v>
      </x:c>
      <x:c r="H8" s="17" t="str">
        <x:v>No unresolved P0</x:v>
      </x:c>
    </x:row>
    <x:row r="9">
      <x:c r="A9" s="17" t="str">
        <x:v>G07 Engineering</x:v>
      </x:c>
      <x:c r="B9" s="17" t="str">
        <x:v>Tech Lead</x:v>
      </x:c>
      <x:c r="C9" s="17" t="str">
        <x:v>CI build/test/DB migration</x:v>
      </x:c>
      <x:c r="D9" s="17" t="str">
        <x:v>CI report</x:v>
      </x:c>
      <x:c r="E9" s="17" t="str">
        <x:v>GO / CONDITIONAL / NO-GO</x:v>
      </x:c>
      <x:c r="F9" s="17" t="str">
        <x:v>OPEN</x:v>
      </x:c>
      <x:c r="G9" s="17" t="str">
        <x:v>Blocks code baseline</x:v>
      </x:c>
      <x:c r="H9" s="17" t="str">
        <x:v>Actual environment required</x:v>
      </x:c>
    </x:row>
    <x:row r="10">
      <x:c r="A10" s="17" t="str">
        <x:v>G08 Ship Pilot</x:v>
      </x:c>
      <x:c r="B10" s="17" t="str">
        <x:v>Pilot Owner</x:v>
      </x:c>
      <x:c r="C10" s="17" t="str">
        <x:v>Real ship data</x:v>
      </x:c>
      <x:c r="D10" s="17" t="str">
        <x:v>Signed UAT</x:v>
      </x:c>
      <x:c r="E10" s="17" t="str">
        <x:v>GO / FIX / NO-GO</x:v>
      </x:c>
      <x:c r="F10" s="17" t="str">
        <x:v>OPEN</x:v>
      </x:c>
      <x:c r="G10" s="17" t="str">
        <x:v>Blocks FINAL</x:v>
      </x:c>
      <x:c r="H10" s="17" t="str">
        <x:v>1 real ship</x:v>
      </x:c>
    </x:row>
    <x:row r="11">
      <x:c r="A11" s="17" t="str">
        <x:v>G09 Tug Pilot</x:v>
      </x:c>
      <x:c r="B11" s="17" t="str">
        <x:v>Pilot Owner</x:v>
      </x:c>
      <x:c r="C11" s="17" t="str">
        <x:v>Real tug/job data</x:v>
      </x:c>
      <x:c r="D11" s="17" t="str">
        <x:v>Signed UAT</x:v>
      </x:c>
      <x:c r="E11" s="17" t="str">
        <x:v>GO / FIX / NO-GO</x:v>
      </x:c>
      <x:c r="F11" s="17" t="str">
        <x:v>OPEN</x:v>
      </x:c>
      <x:c r="G11" s="17" t="str">
        <x:v>Blocks FINAL</x:v>
      </x:c>
      <x:c r="H11" s="17" t="str">
        <x:v>1 real tug</x:v>
      </x:c>
    </x:row>
    <x:row r="12">
      <x:c r="A12" s="17" t="str">
        <x:v>G10 Final Freeze</x:v>
      </x:c>
      <x:c r="B12" s="17" t="str">
        <x:v>Product Council</x:v>
      </x:c>
      <x:c r="C12" s="17" t="str">
        <x:v>G01-G09 closed</x:v>
      </x:c>
      <x:c r="D12" s="17" t="str">
        <x:v>Manifest + signatures</x:v>
      </x:c>
      <x:c r="E12" s="17" t="str">
        <x:v>FINAL / CONDITIONAL</x:v>
      </x:c>
      <x:c r="F12" s="17" t="str">
        <x:v>OPEN</x:v>
      </x:c>
      <x:c r="G12" s="17" t="str">
        <x:v>Creates v46.3 FINAL</x:v>
      </x:c>
      <x:c r="H12" s="17" t="str">
        <x:v>No fake closure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</x:sheetData>
  <x:mergeCells>
    <x:mergeCell ref="A1:H1"/>
  </x:mergeCells>
  <x:conditionalFormatting sqref="F3:F20">
    <x:cfRule type="expression" dxfId="0" priority="1">
      <x:formula>F3="CLOSED"</x:formula>
    </x:cfRule>
    <x:cfRule type="expression" dxfId="1" priority="2">
      <x:formula>F3="OPEN"</x:formula>
    </x:cfRule>
  </x:conditionalFormatting>
  <x:dataValidations count="1">
    <x:dataValidation type="list" sqref="F3:F20">
      <x:formula1>"OPEN,IN REVIEW,CLOSED,N/A"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66" hidden="0" customWidth="1"/>
    <x:col min="5" max="5" width="32" hidden="0" customWidth="1"/>
    <x:col min="6" max="6" width="26" hidden="0" customWidth="1"/>
    <x:col min="7" max="7" width="52" hidden="0" customWidth="1"/>
    <x:col min="8" max="8" width="22" hidden="0" customWidth="1"/>
    <x:col min="9" max="9" width="14" hidden="0" customWidth="1"/>
    <x:col min="10" max="10" width="16" hidden="0" customWidth="1"/>
  </x:cols>
  <x:sheetData>
    <x:row r="1">
      <x:c r="A1" s="11" t="str">
        <x:v>Area</x:v>
      </x:c>
      <x:c r="B1" s="11" t="str">
        <x:v>Required Reviewer</x:v>
      </x:c>
      <x:c r="C1" s="11" t="str">
        <x:v>Scope</x:v>
      </x:c>
      <x:c r="D1" s="11" t="str">
        <x:v>Review Question</x:v>
      </x:c>
      <x:c r="E1" s="11" t="str">
        <x:v>Evidence Ref</x:v>
      </x:c>
      <x:c r="F1" s="11" t="str">
        <x:v>Decision</x:v>
      </x:c>
      <x:c r="G1" s="11" t="str">
        <x:v>Condition / Finding</x:v>
      </x:c>
      <x:c r="H1" s="11" t="str">
        <x:v>Owner</x:v>
      </x:c>
      <x:c r="I1" s="11" t="str">
        <x:v>Due</x:v>
      </x:c>
      <x:c r="J1" s="11" t="str">
        <x:v>Status</x:v>
      </x:c>
    </x:row>
    <x:row r="2">
      <x:c r="A2" s="17" t="str">
        <x:v>Business Scope</x:v>
      </x:c>
      <x:c r="B2" s="17" t="str">
        <x:v>PO/BA Lead</x:v>
      </x:c>
      <x:c r="C2" s="17" t="str">
        <x:v>Ship + Tug + ERP boundary</x:v>
      </x:c>
      <x:c r="D2" s="17" t="str">
        <x:v>Does v46.3 preserve the approved product wedge?</x:v>
      </x:c>
      <x:c r="E2" s="17" t="str"/>
      <x:c r="F2" s="17" t="str"/>
      <x:c r="G2" s="17" t="str"/>
      <x:c r="H2" s="17" t="str"/>
      <x:c r="I2" s="17" t="str"/>
      <x:c r="J2" s="17" t="str">
        <x:v>OPEN</x:v>
      </x:c>
    </x:row>
    <x:row r="3">
      <x:c r="A3" s="17" t="str">
        <x:v>Ship Ops</x:v>
      </x:c>
      <x:c r="B3" s="17" t="str">
        <x:v>Master/Marine SME</x:v>
      </x:c>
      <x:c r="C3" s="17" t="str">
        <x:v>Noon/Daily/Fuel/SOF/Downtime</x:v>
      </x:c>
      <x:c r="D3" s="17" t="str">
        <x:v>Does the workflow match actual onboard operation without duplicate burden?</x:v>
      </x:c>
      <x:c r="E3" s="17" t="str"/>
      <x:c r="F3" s="17" t="str"/>
      <x:c r="G3" s="17" t="str"/>
      <x:c r="H3" s="17" t="str"/>
      <x:c r="I3" s="17" t="str"/>
      <x:c r="J3" s="17" t="str">
        <x:v>OPEN</x:v>
      </x:c>
    </x:row>
    <x:row r="4">
      <x:c r="A4" s="17" t="str">
        <x:v>Tug Ops</x:v>
      </x:c>
      <x:c r="B4" s="17" t="str">
        <x:v>Tug Master/Ops SME</x:v>
      </x:c>
      <x:c r="C4" s="17" t="str">
        <x:v>Job→Execution→Evidence</x:v>
      </x:c>
      <x:c r="D4" s="17" t="str">
        <x:v>Are tug authority/readiness/equipment checks operationally correct?</x:v>
      </x:c>
      <x:c r="E4" s="17" t="str"/>
      <x:c r="F4" s="17" t="str"/>
      <x:c r="G4" s="17" t="str"/>
      <x:c r="H4" s="17" t="str"/>
      <x:c r="I4" s="17" t="str"/>
      <x:c r="J4" s="17" t="str">
        <x:v>OPEN</x:v>
      </x:c>
    </x:row>
    <x:row r="5">
      <x:c r="A5" s="17" t="str">
        <x:v>Crew</x:v>
      </x:c>
      <x:c r="B5" s="17" t="str">
        <x:v>Crewing SME</x:v>
      </x:c>
      <x:c r="C5" s="17" t="str">
        <x:v>MSMD/Credentials/Competence/Rest</x:v>
      </x:c>
      <x:c r="D5" s="17" t="str">
        <x:v>Does eligibility reflect actual manning/qualification decisions?</x:v>
      </x:c>
      <x:c r="E5" s="17" t="str"/>
      <x:c r="F5" s="17" t="str"/>
      <x:c r="G5" s="17" t="str"/>
      <x:c r="H5" s="17" t="str"/>
      <x:c r="I5" s="17" t="str"/>
      <x:c r="J5" s="17" t="str">
        <x:v>OPEN</x:v>
      </x:c>
    </x:row>
    <x:row r="6">
      <x:c r="A6" s="17" t="str">
        <x:v>Technical/PMS</x:v>
      </x:c>
      <x:c r="B6" s="17" t="str">
        <x:v>Chief Engineer/Tech Superintendent</x:v>
      </x:c>
      <x:c r="C6" s="17" t="str">
        <x:v>WO/Defect/Measurement/Spare/Drydock</x:v>
      </x:c>
      <x:c r="D6" s="17" t="str">
        <x:v>Does PMS support actual maintenance and critical-equipment governance?</x:v>
      </x:c>
      <x:c r="E6" s="17" t="str"/>
      <x:c r="F6" s="17" t="str"/>
      <x:c r="G6" s="17" t="str"/>
      <x:c r="H6" s="17" t="str"/>
      <x:c r="I6" s="17" t="str"/>
      <x:c r="J6" s="17" t="str">
        <x:v>OPEN</x:v>
      </x:c>
    </x:row>
    <x:row r="7">
      <x:c r="A7" s="17" t="str">
        <x:v>Safety/HSEQ</x:v>
      </x:c>
      <x:c r="B7" s="17" t="str">
        <x:v>DPA/HSEQ SME</x:v>
      </x:c>
      <x:c r="C7" s="17" t="str">
        <x:v>RA/MOC/Barrier/Effectiveness</x:v>
      </x:c>
      <x:c r="D7" s="17" t="str">
        <x:v>Does the safety model avoid generic CAPA flattening?</x:v>
      </x:c>
      <x:c r="E7" s="17" t="str"/>
      <x:c r="F7" s="17" t="str"/>
      <x:c r="G7" s="17" t="str"/>
      <x:c r="H7" s="17" t="str"/>
      <x:c r="I7" s="17" t="str"/>
      <x:c r="J7" s="17" t="str">
        <x:v>OPEN</x:v>
      </x:c>
    </x:row>
    <x:row r="8">
      <x:c r="A8" s="17" t="str">
        <x:v>Regulatory</x:v>
      </x:c>
      <x:c r="B8" s="17" t="str">
        <x:v>Regulatory/Legal SME</x:v>
      </x:c>
      <x:c r="C8" s="17" t="str">
        <x:v>Source→Rule→Control</x:v>
      </x:c>
      <x:c r="D8" s="17" t="str">
        <x:v>Are P0 applicability rules and source versions defensible?</x:v>
      </x:c>
      <x:c r="E8" s="17" t="str"/>
      <x:c r="F8" s="17" t="str"/>
      <x:c r="G8" s="17" t="str"/>
      <x:c r="H8" s="17" t="str"/>
      <x:c r="I8" s="17" t="str"/>
      <x:c r="J8" s="17" t="str">
        <x:v>OPEN</x:v>
      </x:c>
    </x:row>
    <x:row r="9">
      <x:c r="A9" s="17" t="str">
        <x:v>Class/Survey</x:v>
      </x:c>
      <x:c r="B9" s="17" t="str">
        <x:v>Class/RO SME</x:v>
      </x:c>
      <x:c r="C9" s="17" t="str">
        <x:v>Survey/Certificate/Towing equipment</x:v>
      </x:c>
      <x:c r="D9" s="17" t="str">
        <x:v>Are class-specific assumptions separated from universal rules?</x:v>
      </x:c>
      <x:c r="E9" s="17" t="str"/>
      <x:c r="F9" s="17" t="str"/>
      <x:c r="G9" s="17" t="str"/>
      <x:c r="H9" s="17" t="str"/>
      <x:c r="I9" s="17" t="str"/>
      <x:c r="J9" s="17" t="str">
        <x:v>OPEN</x:v>
      </x:c>
    </x:row>
    <x:row r="10">
      <x:c r="A10" s="17" t="str">
        <x:v>Security/Data</x:v>
      </x:c>
      <x:c r="B10" s="17" t="str">
        <x:v>Security/DPO</x:v>
      </x:c>
      <x:c r="C10" s="17" t="str">
        <x:v>Tenant/offline/AI/privacy</x:v>
      </x:c>
      <x:c r="D10" s="17" t="str">
        <x:v>Are data boundaries and AI authority acceptable?</x:v>
      </x:c>
      <x:c r="E10" s="17" t="str"/>
      <x:c r="F10" s="17" t="str"/>
      <x:c r="G10" s="17" t="str"/>
      <x:c r="H10" s="17" t="str"/>
      <x:c r="I10" s="17" t="str"/>
      <x:c r="J10" s="17" t="str">
        <x:v>OPEN</x:v>
      </x:c>
    </x:row>
    <x:row r="11">
      <x:c r="A11" s="17" t="str">
        <x:v>QA</x:v>
      </x:c>
      <x:c r="B11" s="17" t="str">
        <x:v>QA Lead</x:v>
      </x:c>
      <x:c r="C11" s="17" t="str">
        <x:v>196 screens / 2.316 fields</x:v>
      </x:c>
      <x:c r="D11" s="17" t="str">
        <x:v>Is the controlled trace sufficient to derive complete test coverage?</x:v>
      </x:c>
      <x:c r="E11" s="17" t="str"/>
      <x:c r="F11" s="17" t="str"/>
      <x:c r="G11" s="17" t="str"/>
      <x:c r="H11" s="17" t="str"/>
      <x:c r="I11" s="17" t="str"/>
      <x:c r="J11" s="17" t="str">
        <x:v>OPEN</x:v>
      </x:c>
    </x:row>
  </x:sheetData>
  <x:dataValidations count="2">
    <x:dataValidation type="list" sqref="F2:F50">
      <x:formula1>"APPROVE,APPROVE WITH CONDITION,REJECT,REVIEW REQUIRED"</x:formula1>
    </x:dataValidation>
    <x:dataValidation type="list" sqref="J2:J50">
      <x:formula1>"OPEN,IN REVIEW,CLOSED,N/A"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25" hidden="0" customWidth="1"/>
    <x:col min="4" max="4" width="50" hidden="0" customWidth="1"/>
    <x:col min="5" max="5" width="72" hidden="0" customWidth="1"/>
    <x:col min="6" max="6" width="35" hidden="0" customWidth="1"/>
    <x:col min="7" max="7" width="48" hidden="0" customWidth="1"/>
    <x:col min="8" max="8" width="15" hidden="0" customWidth="1"/>
    <x:col min="9" max="9" width="28" hidden="0" customWidth="1"/>
    <x:col min="10" max="10" width="16" hidden="0" customWidth="1"/>
  </x:cols>
  <x:sheetData>
    <x:row r="1">
      <x:c r="A1" s="11" t="str">
        <x:v>ID</x:v>
      </x:c>
      <x:c r="B1" s="11" t="str">
        <x:v>Journey Step</x:v>
      </x:c>
      <x:c r="C1" s="11" t="str">
        <x:v>Role</x:v>
      </x:c>
      <x:c r="D1" s="11" t="str">
        <x:v>Scenario</x:v>
      </x:c>
      <x:c r="E1" s="11" t="str">
        <x:v>Expected Result</x:v>
      </x:c>
      <x:c r="F1" s="11" t="str">
        <x:v>Evidence</x:v>
      </x:c>
      <x:c r="G1" s="11" t="str">
        <x:v>Actual Result</x:v>
      </x:c>
      <x:c r="H1" s="11" t="str">
        <x:v>Defect ID</x:v>
      </x:c>
      <x:c r="I1" s="11" t="str">
        <x:v>Decision</x:v>
      </x:c>
      <x:c r="J1" s="11" t="str">
        <x:v>Status</x:v>
      </x:c>
    </x:row>
    <x:row r="2">
      <x:c r="A2" s="17" t="str">
        <x:v>SHIP-UAT-01</x:v>
      </x:c>
      <x:c r="B2" s="17" t="str">
        <x:v>Login &amp; Today</x:v>
      </x:c>
      <x:c r="C2" s="17" t="str">
        <x:v>Master</x:v>
      </x:c>
      <x:c r="D2" s="17" t="str">
        <x:v>Role-aware login on pilot ship</x:v>
      </x:c>
      <x:c r="E2" s="17" t="str">
        <x:v>Correct vessel context, critical exceptions, no cross-tenant data</x:v>
      </x:c>
      <x:c r="F2" s="17" t="str"/>
      <x:c r="G2" s="17" t="str"/>
      <x:c r="H2" s="17" t="str"/>
      <x:c r="I2" s="17" t="str"/>
      <x:c r="J2" s="17" t="str">
        <x:v>NOT RUN</x:v>
      </x:c>
    </x:row>
    <x:row r="3">
      <x:c r="A3" s="17" t="str">
        <x:v>SHIP-UAT-02</x:v>
      </x:c>
      <x:c r="B3" s="17" t="str">
        <x:v>Departure readiness</x:v>
      </x:c>
      <x:c r="C3" s="17" t="str">
        <x:v>Master</x:v>
      </x:c>
      <x:c r="D3" s="17" t="str">
        <x:v>Prepare vessel for departure</x:v>
      </x:c>
      <x:c r="E3" s="17" t="str">
        <x:v>Critical blockers visible; Why explains each state</x:v>
      </x:c>
      <x:c r="F3" s="17" t="str"/>
      <x:c r="G3" s="17" t="str"/>
      <x:c r="H3" s="17" t="str"/>
      <x:c r="I3" s="17" t="str"/>
      <x:c r="J3" s="17" t="str">
        <x:v>NOT RUN</x:v>
      </x:c>
    </x:row>
    <x:row r="4">
      <x:c r="A4" s="17" t="str">
        <x:v>SHIP-UAT-03</x:v>
      </x:c>
      <x:c r="B4" s="17" t="str">
        <x:v>Noon Report</x:v>
      </x:c>
      <x:c r="C4" s="17" t="str">
        <x:v>Chief Officer/Master</x:v>
      </x:c>
      <x:c r="D4" s="17" t="str">
        <x:v>Create daily noon report offline then sync</x:v>
      </x:c>
      <x:c r="E4" s="17" t="str">
        <x:v>20+ controlled fields captured; no duplicate record; downstream reuse</x:v>
      </x:c>
      <x:c r="F4" s="17" t="str"/>
      <x:c r="G4" s="17" t="str"/>
      <x:c r="H4" s="17" t="str"/>
      <x:c r="I4" s="17" t="str"/>
      <x:c r="J4" s="17" t="str">
        <x:v>NOT RUN</x:v>
      </x:c>
    </x:row>
    <x:row r="5">
      <x:c r="A5" s="17" t="str">
        <x:v>SHIP-UAT-04</x:v>
      </x:c>
      <x:c r="B5" s="17" t="str">
        <x:v>Deck Daily Log</x:v>
      </x:c>
      <x:c r="C5" s="17" t="str">
        <x:v>OOW</x:v>
      </x:c>
      <x:c r="D5" s="17" t="str">
        <x:v>Record watch/nav/port/cargo/handover</x:v>
      </x:c>
      <x:c r="E5" s="17" t="str">
        <x:v>Chronological audited log; role/state controls</x:v>
      </x:c>
      <x:c r="F5" s="17" t="str"/>
      <x:c r="G5" s="17" t="str"/>
      <x:c r="H5" s="17" t="str"/>
      <x:c r="I5" s="17" t="str"/>
      <x:c r="J5" s="17" t="str">
        <x:v>NOT RUN</x:v>
      </x:c>
    </x:row>
    <x:row r="6">
      <x:c r="A6" s="17" t="str">
        <x:v>SHIP-UAT-05</x:v>
      </x:c>
      <x:c r="B6" s="17" t="str">
        <x:v>Engine Daily Log</x:v>
      </x:c>
      <x:c r="C6" s="17" t="str">
        <x:v>Engineer</x:v>
      </x:c>
      <x:c r="D6" s="17" t="str">
        <x:v>Record hours/fuel/measurements/alarms/defects</x:v>
      </x:c>
      <x:c r="E6" s="17" t="str">
        <x:v>Technical data links to equipment/defect/PMS</x:v>
      </x:c>
      <x:c r="F6" s="17" t="str"/>
      <x:c r="G6" s="17" t="str"/>
      <x:c r="H6" s="17" t="str"/>
      <x:c r="I6" s="17" t="str"/>
      <x:c r="J6" s="17" t="str">
        <x:v>NOT RUN</x:v>
      </x:c>
    </x:row>
    <x:row r="7">
      <x:c r="A7" s="17" t="str">
        <x:v>SHIP-UAT-06</x:v>
      </x:c>
      <x:c r="B7" s="17" t="str">
        <x:v>Fuel/BDN/ROB</x:v>
      </x:c>
      <x:c r="C7" s="17" t="str">
        <x:v>Chief Engineer</x:v>
      </x:c>
      <x:c r="D7" s="17" t="str">
        <x:v>Record consumption and bunker delivery</x:v>
      </x:c>
      <x:c r="E7" s="17" t="str">
        <x:v>Fuel type/quantity/BDN/ROB/evidence; applicable compliance fields activate</x:v>
      </x:c>
      <x:c r="F7" s="17" t="str"/>
      <x:c r="G7" s="17" t="str"/>
      <x:c r="H7" s="17" t="str"/>
      <x:c r="I7" s="17" t="str"/>
      <x:c r="J7" s="17" t="str">
        <x:v>NOT RUN</x:v>
      </x:c>
    </x:row>
    <x:row r="8">
      <x:c r="A8" s="17" t="str">
        <x:v>SHIP-UAT-07</x:v>
      </x:c>
      <x:c r="B8" s="17" t="str">
        <x:v>Port Activity/SOF</x:v>
      </x:c>
      <x:c r="C8" s="17" t="str">
        <x:v>Chief Officer</x:v>
      </x:c>
      <x:c r="D8" s="17" t="str">
        <x:v>Record pilot/tug/berth/cargo/departure timestamps</x:v>
      </x:c>
      <x:c r="E8" s="17" t="str">
        <x:v>SOF timeline produced without Port OS scope creep</x:v>
      </x:c>
      <x:c r="F8" s="17" t="str"/>
      <x:c r="G8" s="17" t="str"/>
      <x:c r="H8" s="17" t="str"/>
      <x:c r="I8" s="17" t="str"/>
      <x:c r="J8" s="17" t="str">
        <x:v>NOT RUN</x:v>
      </x:c>
    </x:row>
    <x:row r="9">
      <x:c r="A9" s="17" t="str">
        <x:v>SHIP-UAT-08</x:v>
      </x:c>
      <x:c r="B9" s="17" t="str">
        <x:v>Operational downtime</x:v>
      </x:c>
      <x:c r="C9" s="17" t="str">
        <x:v>Technical Superintendent</x:v>
      </x:c>
      <x:c r="D9" s="17" t="str">
        <x:v>Create downtime linked to defect/WO</x:v>
      </x:c>
      <x:c r="E9" s="17" t="str">
        <x:v>Duration/cause/operational impact/evidence trace</x:v>
      </x:c>
      <x:c r="F9" s="17" t="str"/>
      <x:c r="G9" s="17" t="str"/>
      <x:c r="H9" s="17" t="str"/>
      <x:c r="I9" s="17" t="str"/>
      <x:c r="J9" s="17" t="str">
        <x:v>NOT RUN</x:v>
      </x:c>
    </x:row>
    <x:row r="10">
      <x:c r="A10" s="17" t="str">
        <x:v>SHIP-UAT-09</x:v>
      </x:c>
      <x:c r="B10" s="17" t="str">
        <x:v>Certificate/Survey</x:v>
      </x:c>
      <x:c r="C10" s="17" t="str">
        <x:v>Superintendent</x:v>
      </x:c>
      <x:c r="D10" s="17" t="str">
        <x:v>Approach survey window</x:v>
      </x:c>
      <x:c r="E10" s="17" t="str">
        <x:v>Pre-survey tasks + voyage-fit + readiness impact visible</x:v>
      </x:c>
      <x:c r="F10" s="17" t="str"/>
      <x:c r="G10" s="17" t="str"/>
      <x:c r="H10" s="17" t="str"/>
      <x:c r="I10" s="17" t="str"/>
      <x:c r="J10" s="17" t="str">
        <x:v>NOT RUN</x:v>
      </x:c>
    </x:row>
    <x:row r="11">
      <x:c r="A11" s="17" t="str">
        <x:v>SHIP-UAT-10</x:v>
      </x:c>
      <x:c r="B11" s="17" t="str">
        <x:v>Risk Assessment</x:v>
      </x:c>
      <x:c r="C11" s="17" t="str">
        <x:v>Master/HSEQ</x:v>
      </x:c>
      <x:c r="D11" s="17" t="str">
        <x:v>Use fleet template then customize</x:v>
      </x:c>
      <x:c r="E11" s="17" t="str">
        <x:v>Initial/residual risk + controls + barriers + acknowledgements</x:v>
      </x:c>
      <x:c r="F11" s="17" t="str"/>
      <x:c r="G11" s="17" t="str"/>
      <x:c r="H11" s="17" t="str"/>
      <x:c r="I11" s="17" t="str"/>
      <x:c r="J11" s="17" t="str">
        <x:v>NOT RUN</x:v>
      </x:c>
    </x:row>
    <x:row r="12">
      <x:c r="A12" s="17" t="str">
        <x:v>SHIP-UAT-11</x:v>
      </x:c>
      <x:c r="B12" s="17" t="str">
        <x:v>Critical PMS</x:v>
      </x:c>
      <x:c r="C12" s="17" t="str">
        <x:v>Chief Engineer</x:v>
      </x:c>
      <x:c r="D12" s="17" t="str">
        <x:v>Critical WO overdue / postpone request</x:v>
      </x:c>
      <x:c r="E12" s="17" t="str">
        <x:v>Authority/risk/new due/readiness recalculated; no silent green</x:v>
      </x:c>
      <x:c r="F12" s="17" t="str"/>
      <x:c r="G12" s="17" t="str"/>
      <x:c r="H12" s="17" t="str"/>
      <x:c r="I12" s="17" t="str"/>
      <x:c r="J12" s="17" t="str">
        <x:v>NOT RUN</x:v>
      </x:c>
    </x:row>
    <x:row r="13">
      <x:c r="A13" s="17" t="str">
        <x:v>SHIP-UAT-12</x:v>
      </x:c>
      <x:c r="B13" s="17" t="str">
        <x:v>Offline conflict</x:v>
      </x:c>
      <x:c r="C13" s="17" t="str">
        <x:v>Master/Shore</x:v>
      </x:c>
      <x:c r="D13" s="17" t="str">
        <x:v>Same material field changed offline and ashore</x:v>
      </x:c>
      <x:c r="E13" s="17" t="str">
        <x:v>Conflict Center requires explicit human resolution</x:v>
      </x:c>
      <x:c r="F13" s="17" t="str"/>
      <x:c r="G13" s="17" t="str"/>
      <x:c r="H13" s="17" t="str"/>
      <x:c r="I13" s="17" t="str"/>
      <x:c r="J13" s="17" t="str">
        <x:v>NOT RUN</x:v>
      </x:c>
    </x:row>
  </x:sheetData>
  <x:conditionalFormatting sqref="J2:J50">
    <x:cfRule type="expression" dxfId="2" priority="1">
      <x:formula>J2="PASS"</x:formula>
    </x:cfRule>
    <x:cfRule type="expression" dxfId="3" priority="2">
      <x:formula>J2="FAIL"</x:formula>
    </x:cfRule>
  </x:conditionalFormatting>
  <x:dataValidations count="1">
    <x:dataValidation type="list" sqref="J2:J50">
      <x:formula1>"NOT RUN,PASS,FAIL,BLOCKED,N/A"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28" hidden="0" customWidth="1"/>
    <x:col min="4" max="4" width="52" hidden="0" customWidth="1"/>
    <x:col min="5" max="5" width="72" hidden="0" customWidth="1"/>
    <x:col min="6" max="6" width="35" hidden="0" customWidth="1"/>
    <x:col min="7" max="7" width="48" hidden="0" customWidth="1"/>
    <x:col min="8" max="8" width="15" hidden="0" customWidth="1"/>
    <x:col min="9" max="9" width="28" hidden="0" customWidth="1"/>
    <x:col min="10" max="10" width="16" hidden="0" customWidth="1"/>
  </x:cols>
  <x:sheetData>
    <x:row r="1">
      <x:c r="A1" s="11" t="str">
        <x:v>ID</x:v>
      </x:c>
      <x:c r="B1" s="11" t="str">
        <x:v>Journey Step</x:v>
      </x:c>
      <x:c r="C1" s="11" t="str">
        <x:v>Role</x:v>
      </x:c>
      <x:c r="D1" s="11" t="str">
        <x:v>Scenario</x:v>
      </x:c>
      <x:c r="E1" s="11" t="str">
        <x:v>Expected Result</x:v>
      </x:c>
      <x:c r="F1" s="11" t="str">
        <x:v>Evidence</x:v>
      </x:c>
      <x:c r="G1" s="11" t="str">
        <x:v>Actual Result</x:v>
      </x:c>
      <x:c r="H1" s="11" t="str">
        <x:v>Defect ID</x:v>
      </x:c>
      <x:c r="I1" s="11" t="str">
        <x:v>Decision</x:v>
      </x:c>
      <x:c r="J1" s="11" t="str">
        <x:v>Status</x:v>
      </x:c>
    </x:row>
    <x:row r="2">
      <x:c r="A2" s="17" t="str">
        <x:v>TUG-UAT-01</x:v>
      </x:c>
      <x:c r="B2" s="17" t="str">
        <x:v>Job Intake</x:v>
      </x:c>
      <x:c r="C2" s="17" t="str">
        <x:v>Tug Ops Coordinator</x:v>
      </x:c>
      <x:c r="D2" s="17" t="str">
        <x:v>Create harbour-assist job</x:v>
      </x:c>
      <x:c r="E2" s="17" t="str">
        <x:v>Job/context/timing/assisted vessel/required BP captured</x:v>
      </x:c>
      <x:c r="F2" s="17" t="str"/>
      <x:c r="G2" s="17" t="str"/>
      <x:c r="H2" s="17" t="str"/>
      <x:c r="I2" s="17" t="str"/>
      <x:c r="J2" s="17" t="str">
        <x:v>NOT RUN</x:v>
      </x:c>
    </x:row>
    <x:row r="3">
      <x:c r="A3" s="17" t="str">
        <x:v>TUG-UAT-02</x:v>
      </x:c>
      <x:c r="B3" s="17" t="str">
        <x:v>Assignment</x:v>
      </x:c>
      <x:c r="C3" s="17" t="str">
        <x:v>Tug Ops Coordinator</x:v>
      </x:c>
      <x:c r="D3" s="17" t="str">
        <x:v>Assign own tug with overlapping candidate</x:v>
      </x:c>
      <x:c r="E3" s="17" t="str">
        <x:v>Conflict detected; unsuitable candidate not silently accepted</x:v>
      </x:c>
      <x:c r="F3" s="17" t="str"/>
      <x:c r="G3" s="17" t="str"/>
      <x:c r="H3" s="17" t="str"/>
      <x:c r="I3" s="17" t="str"/>
      <x:c r="J3" s="17" t="str">
        <x:v>NOT RUN</x:v>
      </x:c>
    </x:row>
    <x:row r="4">
      <x:c r="A4" s="17" t="str">
        <x:v>TUG-UAT-03</x:v>
      </x:c>
      <x:c r="B4" s="17" t="str">
        <x:v>Crew readiness</x:v>
      </x:c>
      <x:c r="C4" s="17" t="str">
        <x:v>Tug Master/Crewing</x:v>
      </x:c>
      <x:c r="D4" s="17" t="str">
        <x:v>One required credential missing/expired</x:v>
      </x:c>
      <x:c r="E4" s="17" t="str">
        <x:v>Eligibility NOT_ELIGIBLE/REVIEW_REQUIRED; no false READY</x:v>
      </x:c>
      <x:c r="F4" s="17" t="str"/>
      <x:c r="G4" s="17" t="str"/>
      <x:c r="H4" s="17" t="str"/>
      <x:c r="I4" s="17" t="str"/>
      <x:c r="J4" s="17" t="str">
        <x:v>NOT RUN</x:v>
      </x:c>
    </x:row>
    <x:row r="5">
      <x:c r="A5" s="17" t="str">
        <x:v>TUG-UAT-04</x:v>
      </x:c>
      <x:c r="B5" s="17" t="str">
        <x:v>Equipment readiness</x:v>
      </x:c>
      <x:c r="C5" s="17" t="str">
        <x:v>Chief Engineer/Tug Master</x:v>
      </x:c>
      <x:c r="D5" s="17" t="str">
        <x:v>ERS test failed / critical defect open</x:v>
      </x:c>
      <x:c r="E5" s="17" t="str">
        <x:v>NOT_READY with exact Why; release blocked</x:v>
      </x:c>
      <x:c r="F5" s="17" t="str"/>
      <x:c r="G5" s="17" t="str"/>
      <x:c r="H5" s="17" t="str"/>
      <x:c r="I5" s="17" t="str"/>
      <x:c r="J5" s="17" t="str">
        <x:v>NOT RUN</x:v>
      </x:c>
    </x:row>
    <x:row r="6">
      <x:c r="A6" s="17" t="str">
        <x:v>TUG-UAT-05</x:v>
      </x:c>
      <x:c r="B6" s="17" t="str">
        <x:v>BP fit</x:v>
      </x:c>
      <x:c r="C6" s="17" t="str">
        <x:v>Tug Ops/Tug Master</x:v>
      </x:c>
      <x:c r="D6" s="17" t="str">
        <x:v>Job requires specific BP</x:v>
      </x:c>
      <x:c r="E6" s="17" t="str">
        <x:v>Certified BP source/date/verification shown; no unsafe simple sum rule</x:v>
      </x:c>
      <x:c r="F6" s="17" t="str"/>
      <x:c r="G6" s="17" t="str"/>
      <x:c r="H6" s="17" t="str"/>
      <x:c r="I6" s="17" t="str"/>
      <x:c r="J6" s="17" t="str">
        <x:v>NOT RUN</x:v>
      </x:c>
    </x:row>
    <x:row r="7">
      <x:c r="A7" s="17" t="str">
        <x:v>TUG-UAT-06</x:v>
      </x:c>
      <x:c r="B7" s="17" t="str">
        <x:v>Towage plan</x:v>
      </x:c>
      <x:c r="C7" s="17" t="str">
        <x:v>Tug Master</x:v>
      </x:c>
      <x:c r="D7" s="17" t="str">
        <x:v>Define line/config/comms/contingency</x:v>
      </x:c>
      <x:c r="E7" s="17" t="str">
        <x:v>Plan linked to actual tug/job/equipment</x:v>
      </x:c>
      <x:c r="F7" s="17" t="str"/>
      <x:c r="G7" s="17" t="str"/>
      <x:c r="H7" s="17" t="str"/>
      <x:c r="I7" s="17" t="str"/>
      <x:c r="J7" s="17" t="str">
        <x:v>NOT RUN</x:v>
      </x:c>
    </x:row>
    <x:row r="8">
      <x:c r="A8" s="17" t="str">
        <x:v>TUG-UAT-07</x:v>
      </x:c>
      <x:c r="B8" s="17" t="str">
        <x:v>Risk &amp; briefing</x:v>
      </x:c>
      <x:c r="C8" s="17" t="str">
        <x:v>Tug Master/Crew</x:v>
      </x:c>
      <x:c r="D8" s="17" t="str">
        <x:v>Complete job-specific RA/toolbox</x:v>
      </x:c>
      <x:c r="E8" s="17" t="str">
        <x:v>Hazards/barriers/acknowledgement trace complete</x:v>
      </x:c>
      <x:c r="F8" s="17" t="str"/>
      <x:c r="G8" s="17" t="str"/>
      <x:c r="H8" s="17" t="str"/>
      <x:c r="I8" s="17" t="str"/>
      <x:c r="J8" s="17" t="str">
        <x:v>NOT RUN</x:v>
      </x:c>
    </x:row>
    <x:row r="9">
      <x:c r="A9" s="17" t="str">
        <x:v>TUG-UAT-08</x:v>
      </x:c>
      <x:c r="B9" s="17" t="str">
        <x:v>Human release</x:v>
      </x:c>
      <x:c r="C9" s="17" t="str">
        <x:v>Tug Master</x:v>
      </x:c>
      <x:c r="D9" s="17" t="str">
        <x:v>Shore requests start while Tug Master rejects</x:v>
      </x:c>
      <x:c r="E9" s="17" t="str">
        <x:v>System cannot bypass Tug Master</x:v>
      </x:c>
      <x:c r="F9" s="17" t="str"/>
      <x:c r="G9" s="17" t="str"/>
      <x:c r="H9" s="17" t="str"/>
      <x:c r="I9" s="17" t="str"/>
      <x:c r="J9" s="17" t="str">
        <x:v>NOT RUN</x:v>
      </x:c>
    </x:row>
    <x:row r="10">
      <x:c r="A10" s="17" t="str">
        <x:v>TUG-UAT-09</x:v>
      </x:c>
      <x:c r="B10" s="17" t="str">
        <x:v>Execution</x:v>
      </x:c>
      <x:c r="C10" s="17" t="str">
        <x:v>Tug Master</x:v>
      </x:c>
      <x:c r="D10" s="17" t="str">
        <x:v>Start, suspend, resume, complete</x:v>
      </x:c>
      <x:c r="E10" s="17" t="str">
        <x:v>Timeline immutable; evidence/log updated</x:v>
      </x:c>
      <x:c r="F10" s="17" t="str"/>
      <x:c r="G10" s="17" t="str"/>
      <x:c r="H10" s="17" t="str"/>
      <x:c r="I10" s="17" t="str"/>
      <x:c r="J10" s="17" t="str">
        <x:v>NOT RUN</x:v>
      </x:c>
    </x:row>
    <x:row r="11">
      <x:c r="A11" s="17" t="str">
        <x:v>TUG-UAT-10</x:v>
      </x:c>
      <x:c r="B11" s="17" t="str">
        <x:v>Abort</x:v>
      </x:c>
      <x:c r="C11" s="17" t="str">
        <x:v>Tug Master</x:v>
      </x:c>
      <x:c r="D11" s="17" t="str">
        <x:v>Unsafe condition requires abort</x:v>
      </x:c>
      <x:c r="E11" s="17" t="str">
        <x:v>Abort reason/evidence/escalation recorded</x:v>
      </x:c>
      <x:c r="F11" s="17" t="str"/>
      <x:c r="G11" s="17" t="str"/>
      <x:c r="H11" s="17" t="str"/>
      <x:c r="I11" s="17" t="str"/>
      <x:c r="J11" s="17" t="str">
        <x:v>NOT RUN</x:v>
      </x:c>
    </x:row>
    <x:row r="12">
      <x:c r="A12" s="17" t="str">
        <x:v>TUG-UAT-11</x:v>
      </x:c>
      <x:c r="B12" s="17" t="str">
        <x:v>Daily log/history</x:v>
      </x:c>
      <x:c r="C12" s="17" t="str">
        <x:v>Tug Master/Ops</x:v>
      </x:c>
      <x:c r="D12" s="17" t="str">
        <x:v>Review completed jobs</x:v>
      </x:c>
      <x:c r="E12" s="17" t="str">
        <x:v>Daily log + operation history + evidence available</x:v>
      </x:c>
      <x:c r="F12" s="17" t="str"/>
      <x:c r="G12" s="17" t="str"/>
      <x:c r="H12" s="17" t="str"/>
      <x:c r="I12" s="17" t="str"/>
      <x:c r="J12" s="17" t="str">
        <x:v>NOT RUN</x:v>
      </x:c>
    </x:row>
    <x:row r="13">
      <x:c r="A13" s="17" t="str">
        <x:v>TUG-UAT-12</x:v>
      </x:c>
      <x:c r="B13" s="17" t="str">
        <x:v>Offline execution</x:v>
      </x:c>
      <x:c r="C13" s="17" t="str">
        <x:v>Tug Master</x:v>
      </x:c>
      <x:c r="D13" s="17" t="str">
        <x:v>Temporary connectivity loss</x:v>
      </x:c>
      <x:c r="E13" s="17" t="str">
        <x:v>Critical workflow continues; idempotent sync on reconnect</x:v>
      </x:c>
      <x:c r="F13" s="17" t="str"/>
      <x:c r="G13" s="17" t="str"/>
      <x:c r="H13" s="17" t="str"/>
      <x:c r="I13" s="17" t="str"/>
      <x:c r="J13" s="17" t="str">
        <x:v>NOT RUN</x:v>
      </x:c>
    </x:row>
  </x:sheetData>
  <x:conditionalFormatting sqref="J2:J50">
    <x:cfRule type="expression" dxfId="4" priority="1">
      <x:formula>J2="PASS"</x:formula>
    </x:cfRule>
    <x:cfRule type="expression" dxfId="5" priority="2">
      <x:formula>J2="FAIL"</x:formula>
    </x:cfRule>
  </x:conditionalFormatting>
  <x:dataValidations count="1">
    <x:dataValidation type="list" sqref="J2:J50">
      <x:formula1>"NOT RUN,PASS,FAIL,BLOCKED,N/A"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24" hidden="0" customWidth="1"/>
  </x:cols>
  <x:sheetData>
    <x:row r="1">
      <x:c r="A1" s="11" t="str">
        <x:v>KPI</x:v>
      </x:c>
      <x:c r="B1" s="11" t="str">
        <x:v>Definition</x:v>
      </x:c>
      <x:c r="C1" s="11" t="str">
        <x:v>Baseline</x:v>
      </x:c>
      <x:c r="D1" s="11" t="str">
        <x:v>Target</x:v>
      </x:c>
      <x:c r="E1" s="11" t="str">
        <x:v>Ship Actual</x:v>
      </x:c>
      <x:c r="F1" s="11" t="str">
        <x:v>Tug Actual</x:v>
      </x:c>
      <x:c r="G1" s="11" t="str">
        <x:v>Result</x:v>
      </x:c>
      <x:c r="H1" s="11" t="str">
        <x:v>Owner</x:v>
      </x:c>
    </x:row>
    <x:row r="2">
      <x:c r="A2" s="17" t="str">
        <x:v>Task completion</x:v>
      </x:c>
      <x:c r="B2" s="17" t="str">
        <x:v>Critical pilot journey completed without workaround</x:v>
      </x:c>
      <x:c r="C2" s="17" t="str"/>
      <x:c r="D2" s="17" t="str">
        <x:v>≥95%</x:v>
      </x:c>
      <x:c r="E2" s="17" t="str"/>
      <x:c r="F2" s="17" t="str"/>
      <x:c r="G2" s="17" t="str"/>
      <x:c r="H2" s="17" t="str">
        <x:v>Pilot Lead</x:v>
      </x:c>
    </x:row>
    <x:row r="3">
      <x:c r="A3" s="17" t="str">
        <x:v>Evidence completeness</x:v>
      </x:c>
      <x:c r="B3" s="17" t="str">
        <x:v>Required evidence present and traceable</x:v>
      </x:c>
      <x:c r="C3" s="17" t="str"/>
      <x:c r="D3" s="17" t="str">
        <x:v>100% P0</x:v>
      </x:c>
      <x:c r="E3" s="17" t="str"/>
      <x:c r="F3" s="17" t="str"/>
      <x:c r="G3" s="17" t="str"/>
      <x:c r="H3" s="17" t="str">
        <x:v>QA</x:v>
      </x:c>
    </x:row>
    <x:row r="4">
      <x:c r="A4" s="17" t="str">
        <x:v>False-green readiness</x:v>
      </x:c>
      <x:c r="B4" s="17" t="str">
        <x:v>READY shown despite critical missing/failed item</x:v>
      </x:c>
      <x:c r="C4" s="17" t="str"/>
      <x:c r="D4" s="17" t="str">
        <x:v>0</x:v>
      </x:c>
      <x:c r="E4" s="17" t="str"/>
      <x:c r="F4" s="17" t="str"/>
      <x:c r="G4" s="17" t="str"/>
      <x:c r="H4" s="17" t="str">
        <x:v>QA/Regulatory</x:v>
      </x:c>
    </x:row>
    <x:row r="5">
      <x:c r="A5" s="17" t="str">
        <x:v>Readiness explanation accuracy</x:v>
      </x:c>
      <x:c r="B5" s="17" t="str">
        <x:v>SME agrees with Why explanation</x:v>
      </x:c>
      <x:c r="C5" s="17" t="str"/>
      <x:c r="D5" s="17" t="str">
        <x:v>≥95%</x:v>
      </x:c>
      <x:c r="E5" s="17" t="str"/>
      <x:c r="F5" s="17" t="str"/>
      <x:c r="G5" s="17" t="str"/>
      <x:c r="H5" s="17" t="str">
        <x:v>Marine/Tug SME</x:v>
      </x:c>
    </x:row>
    <x:row r="6">
      <x:c r="A6" s="17" t="str">
        <x:v>Duplicate data entry</x:v>
      </x:c>
      <x:c r="B6" s="17" t="str">
        <x:v>Same operational data manually re-entered into multiple POSEIDON screens</x:v>
      </x:c>
      <x:c r="C6" s="17" t="str"/>
      <x:c r="D6" s="17" t="str">
        <x:v>≤10% unavoidable</x:v>
      </x:c>
      <x:c r="E6" s="17" t="str"/>
      <x:c r="F6" s="17" t="str"/>
      <x:c r="G6" s="17" t="str"/>
      <x:c r="H6" s="17" t="str">
        <x:v>PO/BA</x:v>
      </x:c>
    </x:row>
    <x:row r="7">
      <x:c r="A7" s="17" t="str">
        <x:v>Offline sync success</x:v>
      </x:c>
      <x:c r="B7" s="17" t="str">
        <x:v>Queued critical commands sync without duplication/loss</x:v>
      </x:c>
      <x:c r="C7" s="17" t="str"/>
      <x:c r="D7" s="17" t="str">
        <x:v>100%</x:v>
      </x:c>
      <x:c r="E7" s="17" t="str"/>
      <x:c r="F7" s="17" t="str"/>
      <x:c r="G7" s="17" t="str"/>
      <x:c r="H7" s="17" t="str">
        <x:v>Engineering</x:v>
      </x:c>
    </x:row>
    <x:row r="8">
      <x:c r="A8" s="17" t="str">
        <x:v>Material conflict detection</x:v>
      </x:c>
      <x:c r="B8" s="17" t="str">
        <x:v>Designed material conflicts surfaced for human resolution</x:v>
      </x:c>
      <x:c r="C8" s="17" t="str"/>
      <x:c r="D8" s="17" t="str">
        <x:v>100%</x:v>
      </x:c>
      <x:c r="E8" s="17" t="str"/>
      <x:c r="F8" s="17" t="str"/>
      <x:c r="G8" s="17" t="str"/>
      <x:c r="H8" s="17" t="str">
        <x:v>Engineering/QA</x:v>
      </x:c>
    </x:row>
    <x:row r="9">
      <x:c r="A9" s="17" t="str">
        <x:v>Crew eligibility correctness</x:v>
      </x:c>
      <x:c r="B9" s="17" t="str">
        <x:v>SME agrees with eligibility result</x:v>
      </x:c>
      <x:c r="C9" s="17" t="str"/>
      <x:c r="D9" s="17" t="str">
        <x:v>100% P0 cases</x:v>
      </x:c>
      <x:c r="E9" s="17" t="str"/>
      <x:c r="F9" s="17" t="str"/>
      <x:c r="G9" s="17" t="str"/>
      <x:c r="H9" s="17" t="str">
        <x:v>Crewing</x:v>
      </x:c>
    </x:row>
    <x:row r="10">
      <x:c r="A10" s="17" t="str">
        <x:v>Critical PMS blocker detection</x:v>
      </x:c>
      <x:c r="B10" s="17" t="str">
        <x:v>Critical overdue/defect state propagates to readiness</x:v>
      </x:c>
      <x:c r="C10" s="17" t="str"/>
      <x:c r="D10" s="17" t="str">
        <x:v>100%</x:v>
      </x:c>
      <x:c r="E10" s="17" t="str"/>
      <x:c r="F10" s="17" t="str"/>
      <x:c r="G10" s="17" t="str"/>
      <x:c r="H10" s="17" t="str">
        <x:v>Technical</x:v>
      </x:c>
    </x:row>
    <x:row r="11">
      <x:c r="A11" s="17" t="str">
        <x:v>User training time</x:v>
      </x:c>
      <x:c r="B11" s="17" t="str">
        <x:v>Time for role to complete core journey independently</x:v>
      </x:c>
      <x:c r="C11" s="17" t="str"/>
      <x:c r="D11" s="17" t="str">
        <x:v>≤2 hours role onboarding</x:v>
      </x:c>
      <x:c r="E11" s="17" t="str"/>
      <x:c r="F11" s="17" t="str"/>
      <x:c r="G11" s="17" t="str"/>
      <x:c r="H11" s="17" t="str">
        <x:v>Pilot Lead</x:v>
      </x:c>
    </x:row>
    <x:row r="12">
      <x:c r="A12" s="17" t="str">
        <x:v>Critical defect escape</x:v>
      </x:c>
      <x:c r="B12" s="17" t="str">
        <x:v>P0/P1 defect discovered after pilot sign-off</x:v>
      </x:c>
      <x:c r="C12" s="17" t="str"/>
      <x:c r="D12" s="17" t="str">
        <x:v>0 P0</x:v>
      </x:c>
      <x:c r="E12" s="17" t="str"/>
      <x:c r="F12" s="17" t="str"/>
      <x:c r="G12" s="17" t="str"/>
      <x:c r="H12" s="17" t="str">
        <x:v>QA</x:v>
      </x:c>
    </x:row>
  </x:sheetData>
  <x:dataValidations count="1">
    <x:dataValidation type="list" sqref="G2:G30">
      <x:formula1>"PASS,FAIL,NOT MEASURED"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2" hidden="0" customWidth="1"/>
    <x:col min="5" max="5" width="24" hidden="0" customWidth="1"/>
    <x:col min="6" max="6" width="60" hidden="0" customWidth="1"/>
    <x:col min="7" max="7" width="35" hidden="0" customWidth="1"/>
    <x:col min="8" max="8" width="22" hidden="0" customWidth="1"/>
    <x:col min="9" max="9" width="42" hidden="0" customWidth="1"/>
    <x:col min="10" max="10" width="14" hidden="0" customWidth="1"/>
    <x:col min="11" max="11" width="16" hidden="0" customWidth="1"/>
    <x:col min="12" max="12" width="18" hidden="0" customWidth="1"/>
  </x:cols>
  <x:sheetData>
    <x:row r="1">
      <x:c r="A1" s="11" t="str">
        <x:v>ID</x:v>
      </x:c>
      <x:c r="B1" s="11" t="str">
        <x:v>Date</x:v>
      </x:c>
      <x:c r="C1" s="11" t="str">
        <x:v>Mode</x:v>
      </x:c>
      <x:c r="D1" s="11" t="str">
        <x:v>Severity</x:v>
      </x:c>
      <x:c r="E1" s="11" t="str">
        <x:v>Area</x:v>
      </x:c>
      <x:c r="F1" s="11" t="str">
        <x:v>Description</x:v>
      </x:c>
      <x:c r="G1" s="11" t="str">
        <x:v>Evidence</x:v>
      </x:c>
      <x:c r="H1" s="11" t="str">
        <x:v>Owner</x:v>
      </x:c>
      <x:c r="I1" s="11" t="str">
        <x:v>Decision</x:v>
      </x:c>
      <x:c r="J1" s="11" t="str">
        <x:v>Due</x:v>
      </x:c>
      <x:c r="K1" s="11" t="str">
        <x:v>Status</x:v>
      </x:c>
      <x:c r="L1" s="11" t="str">
        <x:v>Retest</x:v>
      </x:c>
    </x:row>
  </x:sheetData>
  <x:dataValidations count="2">
    <x:dataValidation type="list" sqref="D2:D200">
      <x:formula1>"P0,P1,P2,P3"</x:formula1>
    </x:dataValidation>
    <x:dataValidation type="list" sqref="K2:K200">
      <x:formula1>"OPEN,IN PROGRESS,FIXED,ACCEPTED RISK,CLOSED"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20" hidden="0" customWidth="1"/>
    <x:col min="7" max="7" width="24" hidden="0" customWidth="1"/>
    <x:col min="8" max="8" width="20" hidden="0" customWidth="1"/>
    <x:col min="9" max="9" width="45" hidden="0" customWidth="1"/>
    <x:col min="10" max="10" width="28" hidden="0" customWidth="1"/>
    <x:col min="11" max="11" width="45" hidden="0" customWidth="1"/>
  </x:cols>
  <x:sheetData>
    <x:row r="1">
      <x:c r="A1" s="11" t="str">
        <x:v>Evidence ID</x:v>
      </x:c>
      <x:c r="B1" s="11" t="str">
        <x:v>Gate/Test ID</x:v>
      </x:c>
      <x:c r="C1" s="11" t="str">
        <x:v>Object</x:v>
      </x:c>
      <x:c r="D1" s="11" t="str">
        <x:v>Evidence Type</x:v>
      </x:c>
      <x:c r="E1" s="11" t="str">
        <x:v>Source</x:v>
      </x:c>
      <x:c r="F1" s="11" t="str">
        <x:v>Captured At</x:v>
      </x:c>
      <x:c r="G1" s="11" t="str">
        <x:v>Verified By</x:v>
      </x:c>
      <x:c r="H1" s="11" t="str">
        <x:v>Verification</x:v>
      </x:c>
      <x:c r="I1" s="11" t="str">
        <x:v>Storage Ref</x:v>
      </x:c>
      <x:c r="J1" s="11" t="str">
        <x:v>Hash/Version</x:v>
      </x:c>
      <x:c r="K1" s="11" t="str">
        <x:v>Notes</x:v>
      </x:c>
    </x:row>
  </x:sheetData>
  <x:dataValidations count="1">
    <x:dataValidation type="list" sqref="H2:H300">
      <x:formula1>"PENDING,VERIFIED,REJECTED,SUPERSEDED,EXPIRED"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36" hidden="0" customWidth="1"/>
    <x:col min="4" max="4" width="18" hidden="0" customWidth="1"/>
    <x:col min="5" max="5" width="58" hidden="0" customWidth="1"/>
  </x:cols>
  <x:sheetData>
    <x:row r="1">
      <x:c r="A1" s="11" t="str">
        <x:v>Criterion</x:v>
      </x:c>
      <x:c r="B1" s="11" t="str">
        <x:v>Required</x:v>
      </x:c>
      <x:c r="C1" s="11" t="str">
        <x:v>Actual</x:v>
      </x:c>
      <x:c r="D1" s="11" t="str">
        <x:v>Status</x:v>
      </x:c>
      <x:c r="E1" s="11" t="str">
        <x:v>Evidence / Ref</x:v>
      </x:c>
    </x:row>
    <x:row r="2">
      <x:c r="A2" s="17" t="str">
        <x:v>All G01-G09 gates closed</x:v>
      </x:c>
      <x:c r="B2" s="17" t="str">
        <x:v>Yes</x:v>
      </x:c>
      <x:c r="C2" s="17" t="str"/>
      <x:c r="D2" s="17" t="str">
        <x:v>OPEN</x:v>
      </x:c>
      <x:c r="E2" s="17" t="str"/>
    </x:row>
    <x:row r="3">
      <x:c r="A3" s="17" t="str">
        <x:v>0 unresolved P0 defects</x:v>
      </x:c>
      <x:c r="B3" s="17" t="str">
        <x:v>Yes</x:v>
      </x:c>
      <x:c r="C3" s="17" t="str"/>
      <x:c r="D3" s="17" t="str">
        <x:v>OPEN</x:v>
      </x:c>
      <x:c r="E3" s="17" t="str"/>
    </x:row>
    <x:row r="4">
      <x:c r="A4" s="17" t="str">
        <x:v>P1 defects have approved disposition</x:v>
      </x:c>
      <x:c r="B4" s="17" t="str">
        <x:v>Yes</x:v>
      </x:c>
      <x:c r="C4" s="17" t="str"/>
      <x:c r="D4" s="17" t="str">
        <x:v>OPEN</x:v>
      </x:c>
      <x:c r="E4" s="17" t="str"/>
    </x:row>
    <x:row r="5">
      <x:c r="A5" s="17" t="str">
        <x:v>Ship pilot signed</x:v>
      </x:c>
      <x:c r="B5" s="17" t="str">
        <x:v>Yes</x:v>
      </x:c>
      <x:c r="C5" s="17" t="str"/>
      <x:c r="D5" s="17" t="str">
        <x:v>OPEN</x:v>
      </x:c>
      <x:c r="E5" s="17" t="str"/>
    </x:row>
    <x:row r="6">
      <x:c r="A6" s="17" t="str">
        <x:v>Tug pilot signed</x:v>
      </x:c>
      <x:c r="B6" s="17" t="str">
        <x:v>Yes</x:v>
      </x:c>
      <x:c r="C6" s="17" t="str"/>
      <x:c r="D6" s="17" t="str">
        <x:v>OPEN</x:v>
      </x:c>
      <x:c r="E6" s="17" t="str"/>
    </x:row>
    <x:row r="7">
      <x:c r="A7" s="17" t="str">
        <x:v>Regulatory P0 reviewed</x:v>
      </x:c>
      <x:c r="B7" s="17" t="str">
        <x:v>Yes</x:v>
      </x:c>
      <x:c r="C7" s="17" t="str"/>
      <x:c r="D7" s="17" t="str">
        <x:v>OPEN</x:v>
      </x:c>
      <x:c r="E7" s="17" t="str"/>
    </x:row>
    <x:row r="8">
      <x:c r="A8" s="17" t="str">
        <x:v>Engineering CI/DB PASS</x:v>
      </x:c>
      <x:c r="B8" s="17" t="str">
        <x:v>Yes</x:v>
      </x:c>
      <x:c r="C8" s="17" t="str"/>
      <x:c r="D8" s="17" t="str">
        <x:v>OPEN</x:v>
      </x:c>
      <x:c r="E8" s="17" t="str"/>
    </x:row>
    <x:row r="9">
      <x:c r="A9" s="17" t="str">
        <x:v>196 screens / 2.316 fields trace frozen</x:v>
      </x:c>
      <x:c r="B9" s="17" t="str">
        <x:v>Yes</x:v>
      </x:c>
      <x:c r="C9" s="17" t="str"/>
      <x:c r="D9" s="17" t="str">
        <x:v>OPEN</x:v>
      </x:c>
      <x:c r="E9" s="17" t="str"/>
    </x:row>
    <x:row r="10">
      <x:c r="A10" s="17" t="str">
        <x:v>Final manifest/hash generated</x:v>
      </x:c>
      <x:c r="B10" s="17" t="str">
        <x:v>Yes</x:v>
      </x:c>
      <x:c r="C10" s="17" t="str"/>
      <x:c r="D10" s="17" t="str">
        <x:v>OPEN</x:v>
      </x:c>
      <x:c r="E10" s="17" t="str"/>
    </x:row>
    <x:row r="11">
      <x:c r="A11" s="17" t="str">
        <x:v>v46.3 FINAL decision</x:v>
      </x:c>
      <x:c r="B11" s="17" t="str">
        <x:v>FINAL / CONDITIONAL / NO-GO</x:v>
      </x:c>
      <x:c r="C11" s="17" t="str"/>
      <x:c r="D11" s="17" t="str">
        <x:v>OPEN</x:v>
      </x:c>
      <x:c r="E11" s="17" t="str"/>
    </x:row>
  </x:sheetData>
  <x:conditionalFormatting sqref="D2:D30">
    <x:cfRule type="expression" dxfId="6" priority="1">
      <x:formula>D2="PASS"</x:formula>
    </x:cfRule>
    <x:cfRule type="expression" dxfId="7" priority="2">
      <x:formula>D2="FAIL"</x:formula>
    </x:cfRule>
  </x:conditionalFormatting>
  <x:dataValidations count="1">
    <x:dataValidation type="list" sqref="D2:D30">
      <x:formula1>"OPEN,PASS,FAIL,N/A"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6" hidden="0" customWidth="1"/>
    <x:col min="5" max="5" width="45" hidden="0" customWidth="1"/>
  </x:cols>
  <x:sheetData>
    <x:row r="1">
      <x:c r="A1" s="4" t="str">
        <x:v>POSEIDON v46.3 — Final Freeze Readiness Dashboard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KPI</x:v>
      </x:c>
      <x:c r="B3" s="11" t="str">
        <x:v>Değer</x:v>
      </x:c>
      <x:c r="D3" s="11" t="str">
        <x:v>Metric</x:v>
      </x:c>
      <x:c r="E3" s="11" t="str">
        <x:v>State</x:v>
      </x:c>
    </x:row>
    <x:row r="4">
      <x:c r="A4" t="str">
        <x:v>Executive gates closed</x:v>
      </x:c>
      <x:c r="B4" t="n">
        <x:f>COUNTIF('Executive Gate'!F3:F12,"CLOSED")</x:f>
        <x:v>0</x:v>
      </x:c>
      <x:c r="D4" t="str">
        <x:v>Product candidate</x:v>
      </x:c>
      <x:c r="E4" t="str">
        <x:v>v46.3 — 196 screens / 2.316 fields</x:v>
      </x:c>
    </x:row>
    <x:row r="5">
      <x:c r="A5" t="str">
        <x:v>Executive gate total</x:v>
      </x:c>
      <x:c r="B5" t="n">
        <x:v>10</x:v>
      </x:c>
      <x:c r="D5" t="str">
        <x:v>Ship pilot</x:v>
      </x:c>
      <x:c r="E5" t="str">
        <x:v>OPEN</x:v>
      </x:c>
    </x:row>
    <x:row r="6">
      <x:c r="A6" t="str">
        <x:v>Ship UAT pass</x:v>
      </x:c>
      <x:c r="B6" t="n">
        <x:f>COUNTIF('Ship Pilot'!J2:J13,"PASS")</x:f>
        <x:v>0</x:v>
      </x:c>
      <x:c r="D6" t="str">
        <x:v>Tug pilot</x:v>
      </x:c>
      <x:c r="E6" t="str">
        <x:v>OPEN</x:v>
      </x:c>
    </x:row>
    <x:row r="7">
      <x:c r="A7" t="str">
        <x:v>Tug UAT pass</x:v>
      </x:c>
      <x:c r="B7" t="n">
        <x:f>COUNTIF('Tug Pilot'!J2:J13,"PASS")</x:f>
        <x:v>0</x:v>
      </x:c>
      <x:c r="D7" t="str">
        <x:v>External sign-off</x:v>
      </x:c>
      <x:c r="E7" t="str">
        <x:v>OPEN</x:v>
      </x:c>
    </x:row>
    <x:row r="8">
      <x:c r="A8" t="str">
        <x:v>Open defects</x:v>
      </x:c>
      <x:c r="B8" t="n">
        <x:f>COUNTIF('Defect &amp; Decision Log'!K2:K200,"OPEN")+COUNTIF('Defect &amp; Decision Log'!K2:K200,"IN PROGRESS")</x:f>
        <x:v>0</x:v>
      </x:c>
      <x:c r="D8" t="str">
        <x:v>Final freeze</x:v>
      </x:c>
      <x:c r="E8" t="str">
        <x:v>NOT YET FINAL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602ed9bcc5a4402"/>
</x:worksheet>
</file>