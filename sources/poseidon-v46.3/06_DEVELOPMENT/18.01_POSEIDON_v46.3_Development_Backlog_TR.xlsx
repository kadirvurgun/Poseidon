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ff44d889eb44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cklog" sheetId="1" r:id="R26029a02d72d45a6"/>
    <x:sheet xmlns:r="http://schemas.openxmlformats.org/officeDocument/2006/relationships" name="Sprint Plan" sheetId="2" r:id="R5e912f7e37c641f6"/>
    <x:sheet xmlns:r="http://schemas.openxmlformats.org/officeDocument/2006/relationships" name="Dashboard" sheetId="3" r:id="Rba630464bf504f6c"/>
    <x:sheet xmlns:r="http://schemas.openxmlformats.org/officeDocument/2006/relationships" name="DoR DoD Gates" sheetId="4" r:id="Rd4351933b82742aa"/>
    <x:sheet xmlns:r="http://schemas.openxmlformats.org/officeDocument/2006/relationships" name="RACI" sheetId="5" r:id="R93d03132491b435d"/>
    <x:sheet xmlns:r="http://schemas.openxmlformats.org/officeDocument/2006/relationships" name="RAID" sheetId="6" r:id="R2c3cca70db464870"/>
    <x:sheet xmlns:r="http://schemas.openxmlformats.org/officeDocument/2006/relationships" name="v46.2 Scope" sheetId="7" r:id="Rb575622ecf3e4c8c"/>
    <x:sheet xmlns:r="http://schemas.openxmlformats.org/officeDocument/2006/relationships" name="Tug Ops v46.2" sheetId="8" r:id="Re02a74fc57094134"/>
    <x:sheet xmlns:r="http://schemas.openxmlformats.org/officeDocument/2006/relationships" name="v46.3 Scope" sheetId="9" r:id="Rf91fada267184403"/>
    <x:sheet xmlns:r="http://schemas.openxmlformats.org/officeDocument/2006/relationships" name="v46.3 Sprint Plan" sheetId="10" r:id="R83da6bea6c6d416c"/>
    <x:sheet xmlns:r="http://schemas.openxmlformats.org/officeDocument/2006/relationships" name="v46.3 Change Set" sheetId="11" r:id="R2ce62e69f38d40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0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>
          <x:bgColor rgb="FFD9EAD3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106dff604c4a6b" /><Relationship Type="http://schemas.openxmlformats.org/officeDocument/2006/relationships/theme" Target="/xl/theme/theme1.xml" Id="Rbe1f5870f9f848b6" /><Relationship Type="http://schemas.openxmlformats.org/officeDocument/2006/relationships/sharedStrings" Target="/xl/sharedStrings.xml" Id="Rfa71c4bcda2643e2" /><Relationship Type="http://schemas.openxmlformats.org/officeDocument/2006/relationships/worksheet" Target="/xl/worksheets/sheet1.xml" Id="R26029a02d72d45a6" /><Relationship Type="http://schemas.openxmlformats.org/officeDocument/2006/relationships/worksheet" Target="/xl/worksheets/sheet2.xml" Id="R5e912f7e37c641f6" /><Relationship Type="http://schemas.openxmlformats.org/officeDocument/2006/relationships/worksheet" Target="/xl/worksheets/sheet3.xml" Id="Rba630464bf504f6c" /><Relationship Type="http://schemas.openxmlformats.org/officeDocument/2006/relationships/worksheet" Target="/xl/worksheets/sheet4.xml" Id="Rd4351933b82742aa" /><Relationship Type="http://schemas.openxmlformats.org/officeDocument/2006/relationships/worksheet" Target="/xl/worksheets/sheet5.xml" Id="R93d03132491b435d" /><Relationship Type="http://schemas.openxmlformats.org/officeDocument/2006/relationships/worksheet" Target="/xl/worksheets/sheet6.xml" Id="R2c3cca70db464870" /><Relationship Type="http://schemas.openxmlformats.org/officeDocument/2006/relationships/worksheet" Target="/xl/worksheets/sheet7.xml" Id="Rb575622ecf3e4c8c" /><Relationship Type="http://schemas.openxmlformats.org/officeDocument/2006/relationships/worksheet" Target="/xl/worksheets/sheet8.xml" Id="Re02a74fc57094134" /><Relationship Type="http://schemas.openxmlformats.org/officeDocument/2006/relationships/worksheet" Target="/xl/worksheets/sheet9.xml" Id="Rf91fada267184403" /><Relationship Type="http://schemas.openxmlformats.org/officeDocument/2006/relationships/worksheet" Target="/xl/worksheets/sheet10.xml" Id="R83da6bea6c6d416c" /><Relationship Type="http://schemas.openxmlformats.org/officeDocument/2006/relationships/worksheet" Target="/xl/worksheets/sheet11.xml" Id="R2ce62e69f38d401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e9682c304de438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Backlog Items by Sprint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Items</c:v>
          </c:tx>
          <c:cat>
            <c:strRef>
              <c:f>'Dashboard'!$D$4:$D$19</c:f>
              <c:strCache>
                <c:ptCount val="0"/>
              </c:strCache>
            </c:strRef>
          </c:cat>
          <c:val>
            <c:numRef>
              <c:f>'Dashboard'!$E$4:$E$19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e9682c304de438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evelopmentBacklog" displayName="DevelopmentBacklog" ref="A1:R80" headerRowCount="1" totalsRowCount="0" totalsRowShown="0">
  <x:tableColumns count="18">
    <x:tableColumn id="1" name="ID"/>
    <x:tableColumn id="2" name="Type"/>
    <x:tableColumn id="3" name="Epic"/>
    <x:tableColumn id="4" name="Feature"/>
    <x:tableColumn id="5" name="Title"/>
    <x:tableColumn id="6" name="User Story"/>
    <x:tableColumn id="7" name="Acceptance Criteria"/>
    <x:tableColumn id="8" name="Screen / API"/>
    <x:tableColumn id="9" name="Priority"/>
    <x:tableColumn id="10" name="Sprint"/>
    <x:tableColumn id="11" name="Owner Role"/>
    <x:tableColumn id="12" name="Dependencies"/>
    <x:tableColumn id="13" name="Test Trace"/>
    <x:tableColumn id="14" name="Status"/>
    <x:tableColumn id="15" name="Pilot Gate"/>
    <x:tableColumn id="16" name="Estimate SP"/>
    <x:tableColumn id="17" name="Risk"/>
    <x:tableColumn id="18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2003a3f44da44a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b9b851a2951f443b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8" hidden="0" customWidth="1"/>
    <x:col min="4" max="4" width="24" hidden="0" customWidth="1"/>
    <x:col min="5" max="5" width="42" hidden="0" customWidth="1"/>
    <x:col min="6" max="6" width="52" hidden="0" customWidth="1"/>
    <x:col min="7" max="7" width="78" hidden="0" customWidth="1"/>
    <x:col min="8" max="8" width="38" hidden="0" customWidth="1"/>
    <x:col min="9" max="9" width="10" hidden="0" customWidth="1"/>
    <x:col min="10" max="10" width="12" hidden="0" customWidth="1"/>
    <x:col min="11" max="11" width="24" hidden="0" customWidth="1"/>
    <x:col min="12" max="12" width="26" hidden="0" customWidth="1"/>
    <x:col min="13" max="13" width="16" hidden="0" customWidth="1"/>
    <x:col min="14" max="14" width="16" hidden="0" customWidth="1"/>
    <x:col min="15" max="15" width="12" hidden="0" customWidth="1"/>
    <x:col min="16" max="16" width="12" hidden="0" customWidth="1"/>
    <x:col min="17" max="17" width="10" hidden="0" customWidth="1"/>
    <x:col min="18" max="18" width="42" hidden="0" customWidth="1"/>
  </x:cols>
  <x:sheetData>
    <x:row r="1">
      <x:c r="A1" s="6" t="str">
        <x:v>ID</x:v>
      </x:c>
      <x:c r="B1" s="6" t="str">
        <x:v>Type</x:v>
      </x:c>
      <x:c r="C1" s="6" t="str">
        <x:v>Epic</x:v>
      </x:c>
      <x:c r="D1" s="6" t="str">
        <x:v>Feature</x:v>
      </x:c>
      <x:c r="E1" s="6" t="str">
        <x:v>Title</x:v>
      </x:c>
      <x:c r="F1" s="6" t="str">
        <x:v>User Story</x:v>
      </x:c>
      <x:c r="G1" s="6" t="str">
        <x:v>Acceptance Criteria</x:v>
      </x:c>
      <x:c r="H1" s="6" t="str">
        <x:v>Screen / API</x:v>
      </x:c>
      <x:c r="I1" s="6" t="str">
        <x:v>Priority</x:v>
      </x:c>
      <x:c r="J1" s="6" t="str">
        <x:v>Sprint</x:v>
      </x:c>
      <x:c r="K1" s="6" t="str">
        <x:v>Owner Role</x:v>
      </x:c>
      <x:c r="L1" s="6" t="str">
        <x:v>Dependencies</x:v>
      </x:c>
      <x:c r="M1" s="6" t="str">
        <x:v>Test Trace</x:v>
      </x:c>
      <x:c r="N1" s="6" t="str">
        <x:v>Status</x:v>
      </x:c>
      <x:c r="O1" s="6" t="str">
        <x:v>Pilot Gate</x:v>
      </x:c>
      <x:c r="P1" s="6" t="str">
        <x:v>Estimate SP</x:v>
      </x:c>
      <x:c r="Q1" s="6" t="str">
        <x:v>Risk</x:v>
      </x:c>
      <x:c r="R1" s="6" t="str">
        <x:v>Notes</x:v>
      </x:c>
    </x:row>
    <x:row r="2">
      <x:c r="A2" s="7" t="str">
        <x:v>DEV-001</x:v>
      </x:c>
      <x:c r="B2" s="7" t="str">
        <x:v>Story</x:v>
      </x:c>
      <x:c r="C2" s="7" t="str">
        <x:v>E01 Platform Foundation</x:v>
      </x:c>
      <x:c r="D2" s="7" t="str">
        <x:v>Repository</x:v>
      </x:c>
      <x:c r="E2" s="7" t="str">
        <x:v>Repository ve branch standardını kur</x:v>
      </x:c>
      <x:c r="F2" s="7" t="str">
        <x:v>Geliştirme ekibi olarak tek kontrollü kod tabanında çalışmak istiyorum.</x:v>
      </x:c>
      <x:c r="G2" s="7" t="str">
        <x:v>Backend/frontend/contracts/infra/docs klasörleri oluşturulur; main/develop politikası ve PR kontrolü tanımlıdır; protected branch kuralı dokümante edilir.</x:v>
      </x:c>
      <x:c r="H2" s="7" t="str">
        <x:v>Repo / CI</x:v>
      </x:c>
      <x:c r="I2" s="7" t="str">
        <x:v>P0</x:v>
      </x:c>
      <x:c r="J2" s="7" t="str">
        <x:v>S0</x:v>
      </x:c>
      <x:c r="K2" s="7" t="str">
        <x:v>Engineering Lead</x:v>
      </x:c>
      <x:c r="L2" s="7" t="str"/>
      <x:c r="M2" s="7" t="str">
        <x:v>T-S0-001</x:v>
      </x:c>
      <x:c r="N2" s="7" t="str">
        <x:v>Not Started</x:v>
      </x:c>
      <x:c r="O2" s="7" t="str">
        <x:v>YES</x:v>
      </x:c>
      <x:c r="P2" s="7" t="n">
        <x:v>3</x:v>
      </x:c>
      <x:c r="Q2" s="7" t="str">
        <x:v>L</x:v>
      </x:c>
      <x:c r="R2" s="7" t="str"/>
    </x:row>
    <x:row r="3">
      <x:c r="A3" s="7" t="str">
        <x:v>DEV-002</x:v>
      </x:c>
      <x:c r="B3" s="7" t="str">
        <x:v>Task</x:v>
      </x:c>
      <x:c r="C3" s="7" t="str">
        <x:v>E01 Platform Foundation</x:v>
      </x:c>
      <x:c r="D3" s="7" t="str">
        <x:v>CI/CD</x:v>
      </x:c>
      <x:c r="E3" s="7" t="str">
        <x:v>CI pipeline iskeletini kur</x:v>
      </x:c>
      <x:c r="F3" s="7" t="str">
        <x:v>Ekip olarak her PR'da build ve test görmek istiyorum.</x:v>
      </x:c>
      <x:c r="G3" s="7" t="str">
        <x:v>Backend ve frontend build; unit test; lint; artifact üretimi; başarısız adım PR'ı bloklar.</x:v>
      </x:c>
      <x:c r="H3" s="7" t="str">
        <x:v>CI/CD</x:v>
      </x:c>
      <x:c r="I3" s="7" t="str">
        <x:v>P0</x:v>
      </x:c>
      <x:c r="J3" s="7" t="str">
        <x:v>S0</x:v>
      </x:c>
      <x:c r="K3" s="7" t="str">
        <x:v>DevOps</x:v>
      </x:c>
      <x:c r="L3" s="7" t="str">
        <x:v>DEV-001</x:v>
      </x:c>
      <x:c r="M3" s="7" t="str">
        <x:v>T-S0-002</x:v>
      </x:c>
      <x:c r="N3" s="7" t="str">
        <x:v>Not Started</x:v>
      </x:c>
      <x:c r="O3" s="7" t="str">
        <x:v>YES</x:v>
      </x:c>
      <x:c r="P3" s="7" t="n">
        <x:v>5</x:v>
      </x:c>
      <x:c r="Q3" s="7" t="str">
        <x:v>M</x:v>
      </x:c>
      <x:c r="R3" s="7" t="str"/>
    </x:row>
    <x:row r="4">
      <x:c r="A4" s="7" t="str">
        <x:v>DEV-003</x:v>
      </x:c>
      <x:c r="B4" s="7" t="str">
        <x:v>Story</x:v>
      </x:c>
      <x:c r="C4" s="7" t="str">
        <x:v>E20 Production Hardening</x:v>
      </x:c>
      <x:c r="D4" s="7" t="str">
        <x:v>Environment</x:v>
      </x:c>
      <x:c r="E4" s="7" t="str">
        <x:v>DEV/TEST/UAT/PILOT ortam sözleşmesini dondur</x:v>
      </x:c>
      <x:c r="F4" s="7" t="str">
        <x:v>Ekip olarak hangi ortamın ne için kullanıldığını bilmek istiyorum.</x:v>
      </x:c>
      <x:c r="G4" s="7" t="str">
        <x:v>Her ortam için URL/secret/data/retention/deploy owner tanımlı; production datası DEV'e kopyalanmaz; environment promotion akışı yazılıdır.</x:v>
      </x:c>
      <x:c r="H4" s="7" t="str">
        <x:v>Environment Matrix</x:v>
      </x:c>
      <x:c r="I4" s="7" t="str">
        <x:v>P0</x:v>
      </x:c>
      <x:c r="J4" s="7" t="str">
        <x:v>S0</x:v>
      </x:c>
      <x:c r="K4" s="7" t="str">
        <x:v>DevOps</x:v>
      </x:c>
      <x:c r="L4" s="7" t="str">
        <x:v>DEV-001</x:v>
      </x:c>
      <x:c r="M4" s="7" t="str">
        <x:v>T-S0-003</x:v>
      </x:c>
      <x:c r="N4" s="7" t="str">
        <x:v>Not Started</x:v>
      </x:c>
      <x:c r="O4" s="7" t="str">
        <x:v>YES</x:v>
      </x:c>
      <x:c r="P4" s="7" t="n">
        <x:v>3</x:v>
      </x:c>
      <x:c r="Q4" s="7" t="str">
        <x:v>M</x:v>
      </x:c>
      <x:c r="R4" s="7" t="str"/>
    </x:row>
    <x:row r="5">
      <x:c r="A5" s="7" t="str">
        <x:v>DEV-004</x:v>
      </x:c>
      <x:c r="B5" s="7" t="str">
        <x:v>Story</x:v>
      </x:c>
      <x:c r="C5" s="7" t="str">
        <x:v>E01 Platform Foundation</x:v>
      </x:c>
      <x:c r="D5" s="7" t="str">
        <x:v>Architecture</x:v>
      </x:c>
      <x:c r="E5" s="7" t="str">
        <x:v>Modular-monolith boundary ve ADR setini oluştur</x:v>
      </x:c>
      <x:c r="F5" s="7" t="str">
        <x:v>Mimar olarak domain sınırlarını implementation başlamadan kontrol etmek istiyorum.</x:v>
      </x:c>
      <x:c r="G5" s="7" t="str">
        <x:v>Domain modülleri, dependency yönü, event/outbox yaklaşımı, object storage, offline sync ve AI boundary ADR'ları approved durumundadır.</x:v>
      </x:c>
      <x:c r="H5" s="7" t="str">
        <x:v>Architecture / ADR</x:v>
      </x:c>
      <x:c r="I5" s="7" t="str">
        <x:v>P0</x:v>
      </x:c>
      <x:c r="J5" s="7" t="str">
        <x:v>S0</x:v>
      </x:c>
      <x:c r="K5" s="7" t="str">
        <x:v>Solution Architect</x:v>
      </x:c>
      <x:c r="L5" s="7" t="str">
        <x:v>DEV-001</x:v>
      </x:c>
      <x:c r="M5" s="7" t="str">
        <x:v>T-S0-004</x:v>
      </x:c>
      <x:c r="N5" s="7" t="str">
        <x:v>Not Started</x:v>
      </x:c>
      <x:c r="O5" s="7" t="str">
        <x:v>YES</x:v>
      </x:c>
      <x:c r="P5" s="7" t="n">
        <x:v>5</x:v>
      </x:c>
      <x:c r="Q5" s="7" t="str">
        <x:v>M</x:v>
      </x:c>
      <x:c r="R5" s="7" t="str"/>
    </x:row>
    <x:row r="6">
      <x:c r="A6" s="7" t="str">
        <x:v>DEV-005</x:v>
      </x:c>
      <x:c r="B6" s="7" t="str">
        <x:v>Story</x:v>
      </x:c>
      <x:c r="C6" s="7" t="str">
        <x:v>E01 Platform Foundation</x:v>
      </x:c>
      <x:c r="D6" s="7" t="str">
        <x:v>Data</x:v>
      </x:c>
      <x:c r="E6" s="7" t="str">
        <x:v>Physical schema normalization planını çıkar</x:v>
      </x:c>
      <x:c r="F6" s="7" t="str">
        <x:v>Backend ekibi olarak 1.900 field sözleşmesini production entity modeline bağlamak istiyorum.</x:v>
      </x:c>
      <x:c r="G6" s="7" t="str">
        <x:v>Core entity listesi, PK/FK, tenancy, versioning, audit columns, evidence object refs ve migration stratejisi approved olur.</x:v>
      </x:c>
      <x:c r="H6" s="7" t="str">
        <x:v>PostgreSQL Schema</x:v>
      </x:c>
      <x:c r="I6" s="7" t="str">
        <x:v>P0</x:v>
      </x:c>
      <x:c r="J6" s="7" t="str">
        <x:v>S0</x:v>
      </x:c>
      <x:c r="K6" s="7" t="str">
        <x:v>Backend Lead</x:v>
      </x:c>
      <x:c r="L6" s="7" t="str">
        <x:v>DEV-004</x:v>
      </x:c>
      <x:c r="M6" s="7" t="str">
        <x:v>T-S0-005</x:v>
      </x:c>
      <x:c r="N6" s="7" t="str">
        <x:v>Not Started</x:v>
      </x:c>
      <x:c r="O6" s="7" t="str">
        <x:v>YES</x:v>
      </x:c>
      <x:c r="P6" s="7" t="n">
        <x:v>5</x:v>
      </x:c>
      <x:c r="Q6" s="7" t="str">
        <x:v>H</x:v>
      </x:c>
      <x:c r="R6" s="7" t="str"/>
    </x:row>
    <x:row r="7">
      <x:c r="A7" s="7" t="str">
        <x:v>DEV-006</x:v>
      </x:c>
      <x:c r="B7" s="7" t="str">
        <x:v>Story</x:v>
      </x:c>
      <x:c r="C7" s="7" t="str">
        <x:v>E20 Production Hardening</x:v>
      </x:c>
      <x:c r="D7" s="7" t="str">
        <x:v>Security</x:v>
      </x:c>
      <x:c r="E7" s="7" t="str">
        <x:v>Threat model ve security baseline hazırla</x:v>
      </x:c>
      <x:c r="F7" s="7" t="str">
        <x:v>Security owner olarak pilot öncesi kritik güvenlik sınırlarını görmek istiyorum.</x:v>
      </x:c>
      <x:c r="G7" s="7" t="str">
        <x:v>Tenant isolation, authn/authz, file upload, protected reporting, secrets, audit, offline device, AI prompt/data threats kayıtlı; P0 mitigations backlog'a bağlıdır.</x:v>
      </x:c>
      <x:c r="H7" s="7" t="str">
        <x:v>Security Model</x:v>
      </x:c>
      <x:c r="I7" s="7" t="str">
        <x:v>P0</x:v>
      </x:c>
      <x:c r="J7" s="7" t="str">
        <x:v>S0</x:v>
      </x:c>
      <x:c r="K7" s="7" t="str">
        <x:v>Security/Architect</x:v>
      </x:c>
      <x:c r="L7" s="7" t="str">
        <x:v>DEV-004</x:v>
      </x:c>
      <x:c r="M7" s="7" t="str">
        <x:v>T-S0-006</x:v>
      </x:c>
      <x:c r="N7" s="7" t="str">
        <x:v>Not Started</x:v>
      </x:c>
      <x:c r="O7" s="7" t="str">
        <x:v>YES</x:v>
      </x:c>
      <x:c r="P7" s="7" t="n">
        <x:v>5</x:v>
      </x:c>
      <x:c r="Q7" s="7" t="str">
        <x:v>H</x:v>
      </x:c>
      <x:c r="R7" s="7" t="str"/>
    </x:row>
    <x:row r="8">
      <x:c r="A8" s="7" t="str">
        <x:v>DEV-007</x:v>
      </x:c>
      <x:c r="B8" s="7" t="str">
        <x:v>Story</x:v>
      </x:c>
      <x:c r="C8" s="7" t="str">
        <x:v>E17 Assurance &amp; Audit</x:v>
      </x:c>
      <x:c r="D8" s="7" t="str">
        <x:v>Traceability</x:v>
      </x:c>
      <x:c r="E8" s="7" t="str">
        <x:v>Pilot P0 trace paketini oluştur</x:v>
      </x:c>
      <x:c r="F8" s="7" t="str">
        <x:v>PO/QA olarak her pilot journey'yi requirement-screen-api-entity-test zincirinde görmek istiyorum.</x:v>
      </x:c>
      <x:c r="G8" s="7" t="str">
        <x:v>10 pilot capability için orphan kritik öğe kalmaz; trace ID'leri backlog ve test case'lerine bağlıdır.</x:v>
      </x:c>
      <x:c r="H8" s="7" t="str">
        <x:v>RTM</x:v>
      </x:c>
      <x:c r="I8" s="7" t="str">
        <x:v>P0</x:v>
      </x:c>
      <x:c r="J8" s="7" t="str">
        <x:v>S0</x:v>
      </x:c>
      <x:c r="K8" s="7" t="str">
        <x:v>BA/QA Lead</x:v>
      </x:c>
      <x:c r="L8" s="7" t="str"/>
      <x:c r="M8" s="7" t="str">
        <x:v>T-S0-007</x:v>
      </x:c>
      <x:c r="N8" s="7" t="str">
        <x:v>Not Started</x:v>
      </x:c>
      <x:c r="O8" s="7" t="str">
        <x:v>YES</x:v>
      </x:c>
      <x:c r="P8" s="7" t="n">
        <x:v>5</x:v>
      </x:c>
      <x:c r="Q8" s="7" t="str">
        <x:v>M</x:v>
      </x:c>
      <x:c r="R8" s="7" t="str"/>
    </x:row>
    <x:row r="9">
      <x:c r="A9" s="7" t="str">
        <x:v>DEV-008</x:v>
      </x:c>
      <x:c r="B9" s="7" t="str">
        <x:v>Story</x:v>
      </x:c>
      <x:c r="C9" s="7" t="str">
        <x:v>E03 Regulatory Core</x:v>
      </x:c>
      <x:c r="D9" s="7" t="str">
        <x:v>Regulatory Corpus</x:v>
      </x:c>
      <x:c r="E9" s="7" t="str">
        <x:v>Pilot regulatory source ownership planı</x:v>
      </x:c>
      <x:c r="F9" s="7" t="str">
        <x:v>Regulatory owner olarak pilotta hangi resmi kaynakların kullanılacağını bilmek istiyorum.</x:v>
      </x:c>
      <x:c r="G9" s="7" t="str">
        <x:v>ISM/SOLAS/STCW/MLC/MARPOL/Flag/Class pilot kapsamı için source owner, version, validation status ve reviewer atanır.</x:v>
      </x:c>
      <x:c r="H9" s="7" t="str">
        <x:v>Regulatory Source Register</x:v>
      </x:c>
      <x:c r="I9" s="7" t="str">
        <x:v>P0</x:v>
      </x:c>
      <x:c r="J9" s="7" t="str">
        <x:v>S0</x:v>
      </x:c>
      <x:c r="K9" s="7" t="str">
        <x:v>Regulatory Lead</x:v>
      </x:c>
      <x:c r="L9" s="7" t="str">
        <x:v>DEV-007</x:v>
      </x:c>
      <x:c r="M9" s="7" t="str">
        <x:v>T-S0-008</x:v>
      </x:c>
      <x:c r="N9" s="7" t="str">
        <x:v>Not Started</x:v>
      </x:c>
      <x:c r="O9" s="7" t="str">
        <x:v>YES</x:v>
      </x:c>
      <x:c r="P9" s="7" t="n">
        <x:v>5</x:v>
      </x:c>
      <x:c r="Q9" s="7" t="str">
        <x:v>H</x:v>
      </x:c>
      <x:c r="R9" s="7" t="str"/>
    </x:row>
    <x:row r="10">
      <x:c r="A10" s="7" t="str">
        <x:v>DEV-009</x:v>
      </x:c>
      <x:c r="B10" s="7" t="str">
        <x:v>Story</x:v>
      </x:c>
      <x:c r="C10" s="7" t="str">
        <x:v>E20 Production Hardening</x:v>
      </x:c>
      <x:c r="D10" s="7" t="str">
        <x:v>Test Data</x:v>
      </x:c>
      <x:c r="E10" s="7" t="str">
        <x:v>Golden pilot test datasetini hazırla</x:v>
      </x:c>
      <x:c r="F10" s="7" t="str">
        <x:v>QA olarak deterministik regression testleri çalıştırmak istiyorum.</x:v>
      </x:c>
      <x:c r="G10" s="7" t="str">
        <x:v>En az tanker + genel cargo/tug profile; crew/certificate/asset/defect/evidence edge cases; expected applicability/readiness outcomes kayıtlıdır.</x:v>
      </x:c>
      <x:c r="H10" s="7" t="str">
        <x:v>Golden Dataset</x:v>
      </x:c>
      <x:c r="I10" s="7" t="str">
        <x:v>P0</x:v>
      </x:c>
      <x:c r="J10" s="7" t="str">
        <x:v>S0</x:v>
      </x:c>
      <x:c r="K10" s="7" t="str">
        <x:v>QA Lead</x:v>
      </x:c>
      <x:c r="L10" s="7" t="str">
        <x:v>DEV-005,DEV-008</x:v>
      </x:c>
      <x:c r="M10" s="7" t="str">
        <x:v>T-S0-009</x:v>
      </x:c>
      <x:c r="N10" s="7" t="str">
        <x:v>Not Started</x:v>
      </x:c>
      <x:c r="O10" s="7" t="str">
        <x:v>YES</x:v>
      </x:c>
      <x:c r="P10" s="7" t="n">
        <x:v>5</x:v>
      </x:c>
      <x:c r="Q10" s="7" t="str">
        <x:v>M</x:v>
      </x:c>
      <x:c r="R10" s="7" t="str"/>
    </x:row>
    <x:row r="11">
      <x:c r="A11" s="7" t="str">
        <x:v>DEV-010</x:v>
      </x:c>
      <x:c r="B11" s="7" t="str">
        <x:v>Task</x:v>
      </x:c>
      <x:c r="C11" s="7" t="str">
        <x:v>E01 Platform Foundation</x:v>
      </x:c>
      <x:c r="D11" s="7" t="str">
        <x:v>Definition</x:v>
      </x:c>
      <x:c r="E11" s="7" t="str">
        <x:v>Definition of Ready / Done / Release Gate dondur</x:v>
      </x:c>
      <x:c r="F11" s="7" t="str">
        <x:v>Ekip olarak bir işin ne zaman başlanabilir ve tamamlanmış olduğunu aynı şekilde değerlendirmek istiyorum.</x:v>
      </x:c>
      <x:c r="G11" s="7" t="str">
        <x:v>DoR/DoD; design, security, offline, audit, regulatory, docs ve test etkisini kapsar; backlog template'e uygulanır.</x:v>
      </x:c>
      <x:c r="H11" s="7" t="str">
        <x:v>Team Process</x:v>
      </x:c>
      <x:c r="I11" s="7" t="str">
        <x:v>P0</x:v>
      </x:c>
      <x:c r="J11" s="7" t="str">
        <x:v>S0</x:v>
      </x:c>
      <x:c r="K11" s="7" t="str">
        <x:v>Product Owner</x:v>
      </x:c>
      <x:c r="L11" s="7" t="str">
        <x:v>DEV-007</x:v>
      </x:c>
      <x:c r="M11" s="7" t="str">
        <x:v>T-S0-010</x:v>
      </x:c>
      <x:c r="N11" s="7" t="str">
        <x:v>Not Started</x:v>
      </x:c>
      <x:c r="O11" s="7" t="str">
        <x:v>YES</x:v>
      </x:c>
      <x:c r="P11" s="7" t="n">
        <x:v>2</x:v>
      </x:c>
      <x:c r="Q11" s="7" t="str">
        <x:v>L</x:v>
      </x:c>
      <x:c r="R11" s="7" t="str"/>
    </x:row>
    <x:row r="12">
      <x:c r="A12" s="7" t="str">
        <x:v>DEV-011</x:v>
      </x:c>
      <x:c r="B12" s="7" t="str">
        <x:v>Story</x:v>
      </x:c>
      <x:c r="C12" s="7" t="str">
        <x:v>E20 Production Hardening</x:v>
      </x:c>
      <x:c r="D12" s="7" t="str">
        <x:v>Observability</x:v>
      </x:c>
      <x:c r="E12" s="7" t="str">
        <x:v>Observability standardını tanımla</x:v>
      </x:c>
      <x:c r="F12" s="7" t="str">
        <x:v>Ops ekibi olarak pilotta hataları kök nedenle izlemek istiyorum.</x:v>
      </x:c>
      <x:c r="G12" s="7" t="str">
        <x:v>Correlation/tenant/vessel/request IDs; API latency/error, sync backlog/conflict, integration retry, audit health ve data freshness metric sözleşmesi vardır.</x:v>
      </x:c>
      <x:c r="H12" s="7" t="str">
        <x:v>Logging/Metrics/Tracing</x:v>
      </x:c>
      <x:c r="I12" s="7" t="str">
        <x:v>P0</x:v>
      </x:c>
      <x:c r="J12" s="7" t="str">
        <x:v>S0</x:v>
      </x:c>
      <x:c r="K12" s="7" t="str">
        <x:v>DevOps</x:v>
      </x:c>
      <x:c r="L12" s="7" t="str">
        <x:v>DEV-004</x:v>
      </x:c>
      <x:c r="M12" s="7" t="str">
        <x:v>T-S0-011</x:v>
      </x:c>
      <x:c r="N12" s="7" t="str">
        <x:v>Not Started</x:v>
      </x:c>
      <x:c r="O12" s="7" t="str">
        <x:v>YES</x:v>
      </x:c>
      <x:c r="P12" s="7" t="n">
        <x:v>3</x:v>
      </x:c>
      <x:c r="Q12" s="7" t="str">
        <x:v>M</x:v>
      </x:c>
      <x:c r="R12" s="7" t="str"/>
    </x:row>
    <x:row r="13">
      <x:c r="A13" s="7" t="str">
        <x:v>DEV-012</x:v>
      </x:c>
      <x:c r="B13" s="7" t="str">
        <x:v>Story</x:v>
      </x:c>
      <x:c r="C13" s="7" t="str">
        <x:v>E01 Platform Foundation</x:v>
      </x:c>
      <x:c r="D13" s="7" t="str">
        <x:v>Kickoff</x:v>
      </x:c>
      <x:c r="E13" s="7" t="str">
        <x:v>Sprint 0 exit review yap</x:v>
      </x:c>
      <x:c r="F13" s="7" t="str">
        <x:v>Ekip olarak Foundation'a kontrollü geçmek istiyorum.</x:v>
      </x:c>
      <x:c r="G13" s="7" t="str">
        <x:v>Architecture, data, security, trace, environments, backlog ve pilot source ownership gate'leri PASS/accepted; unresolved P0 blocker yoktur.</x:v>
      </x:c>
      <x:c r="H13" s="7" t="str">
        <x:v>Sprint 0 Gate</x:v>
      </x:c>
      <x:c r="I13" s="7" t="str">
        <x:v>P0</x:v>
      </x:c>
      <x:c r="J13" s="7" t="str">
        <x:v>S0</x:v>
      </x:c>
      <x:c r="K13" s="7" t="str">
        <x:v>Product Owner</x:v>
      </x:c>
      <x:c r="L13" s="7" t="str">
        <x:v>DEV-001:DEV-011</x:v>
      </x:c>
      <x:c r="M13" s="7" t="str">
        <x:v>T-S0-012</x:v>
      </x:c>
      <x:c r="N13" s="7" t="str">
        <x:v>Not Started</x:v>
      </x:c>
      <x:c r="O13" s="7" t="str">
        <x:v>YES</x:v>
      </x:c>
      <x:c r="P13" s="7" t="n">
        <x:v>2</x:v>
      </x:c>
      <x:c r="Q13" s="7" t="str">
        <x:v>L</x:v>
      </x:c>
      <x:c r="R13" s="7" t="str"/>
    </x:row>
    <x:row r="14">
      <x:c r="A14" s="7" t="str">
        <x:v>DEV-013</x:v>
      </x:c>
      <x:c r="B14" s="7" t="str">
        <x:v>Story</x:v>
      </x:c>
      <x:c r="C14" s="7" t="str">
        <x:v>E01 Platform Foundation</x:v>
      </x:c>
      <x:c r="D14" s="7" t="str">
        <x:v>Identity</x:v>
      </x:c>
      <x:c r="E14" s="7" t="str">
        <x:v>OIDC login ve session context</x:v>
      </x:c>
      <x:c r="F14" s="7" t="str">
        <x:v>Kullanıcı olarak kurumsal kimliğimle güvenli giriş yapmak istiyorum.</x:v>
      </x:c>
      <x:c r="G14" s="7" t="str">
        <x:v>OIDC login/logout çalışır; token validation server-side; expired/invalid token state mutate etmez; correlation ID üretilir.</x:v>
      </x:c>
      <x:c r="H14" s="7" t="str">
        <x:v>/api/v1/auth</x:v>
      </x:c>
      <x:c r="I14" s="7" t="str">
        <x:v>P0</x:v>
      </x:c>
      <x:c r="J14" s="7" t="str">
        <x:v>S1</x:v>
      </x:c>
      <x:c r="K14" s="7" t="str">
        <x:v>Backend</x:v>
      </x:c>
      <x:c r="L14" s="7" t="str">
        <x:v>DEV-002,DEV-006</x:v>
      </x:c>
      <x:c r="M14" s="7" t="str">
        <x:v>T-S1-001</x:v>
      </x:c>
      <x:c r="N14" s="7" t="str">
        <x:v>Not Started</x:v>
      </x:c>
      <x:c r="O14" s="7" t="str">
        <x:v>YES</x:v>
      </x:c>
      <x:c r="P14" s="7" t="n">
        <x:v>8</x:v>
      </x:c>
      <x:c r="Q14" s="7" t="str">
        <x:v>H</x:v>
      </x:c>
      <x:c r="R14" s="7" t="str"/>
    </x:row>
    <x:row r="15">
      <x:c r="A15" s="7" t="str">
        <x:v>DEV-014</x:v>
      </x:c>
      <x:c r="B15" s="7" t="str">
        <x:v>Story</x:v>
      </x:c>
      <x:c r="C15" s="7" t="str">
        <x:v>E01 Platform Foundation</x:v>
      </x:c>
      <x:c r="D15" s="7" t="str">
        <x:v>Tenant</x:v>
      </x:c>
      <x:c r="E15" s="7" t="str">
        <x:v>Tenant context ve izolasyon</x:v>
      </x:c>
      <x:c r="F15" s="7" t="str">
        <x:v>Müşteri olarak başka tenant verisini hiçbir koşulda görmemek istiyorum.</x:v>
      </x:c>
      <x:c r="G15" s="7" t="str">
        <x:v>Her query/write tenant-scoped; cross-tenant testler 403/404 policy ile bloklanır; leakage testleri PASS.</x:v>
      </x:c>
      <x:c r="H15" s="7" t="str">
        <x:v>Tenant Context</x:v>
      </x:c>
      <x:c r="I15" s="7" t="str">
        <x:v>P0</x:v>
      </x:c>
      <x:c r="J15" s="7" t="str">
        <x:v>S1</x:v>
      </x:c>
      <x:c r="K15" s="7" t="str">
        <x:v>Backend</x:v>
      </x:c>
      <x:c r="L15" s="7" t="str">
        <x:v>DEV-013</x:v>
      </x:c>
      <x:c r="M15" s="7" t="str">
        <x:v>T-S1-002</x:v>
      </x:c>
      <x:c r="N15" s="7" t="str">
        <x:v>Not Started</x:v>
      </x:c>
      <x:c r="O15" s="7" t="str">
        <x:v>YES</x:v>
      </x:c>
      <x:c r="P15" s="7" t="n">
        <x:v>8</x:v>
      </x:c>
      <x:c r="Q15" s="7" t="str">
        <x:v>H</x:v>
      </x:c>
      <x:c r="R15" s="7" t="str"/>
    </x:row>
    <x:row r="16">
      <x:c r="A16" s="7" t="str">
        <x:v>DEV-015</x:v>
      </x:c>
      <x:c r="B16" s="7" t="str">
        <x:v>Story</x:v>
      </x:c>
      <x:c r="C16" s="7" t="str">
        <x:v>E01 Platform Foundation</x:v>
      </x:c>
      <x:c r="D16" s="7" t="str">
        <x:v>Authorization</x:v>
      </x:c>
      <x:c r="E16" s="7" t="str">
        <x:v>Role + vessel + object scope authorization</x:v>
      </x:c>
      <x:c r="F16" s="7" t="str">
        <x:v>Yetkili kullanıcı olarak yalnız görev alanımdaki kayıtları görmek istiyorum.</x:v>
      </x:c>
      <x:c r="G16" s="7" t="str">
        <x:v>Server-side policy role/vessel/object scope uygular; menu hiding güvenlik sınırı değildir; unauthorized state change audit edilir.</x:v>
      </x:c>
      <x:c r="H16" s="7" t="str">
        <x:v>Authorization Policies</x:v>
      </x:c>
      <x:c r="I16" s="7" t="str">
        <x:v>P0</x:v>
      </x:c>
      <x:c r="J16" s="7" t="str">
        <x:v>S1</x:v>
      </x:c>
      <x:c r="K16" s="7" t="str">
        <x:v>Backend</x:v>
      </x:c>
      <x:c r="L16" s="7" t="str">
        <x:v>DEV-014</x:v>
      </x:c>
      <x:c r="M16" s="7" t="str">
        <x:v>T-S1-003</x:v>
      </x:c>
      <x:c r="N16" s="7" t="str">
        <x:v>Not Started</x:v>
      </x:c>
      <x:c r="O16" s="7" t="str">
        <x:v>YES</x:v>
      </x:c>
      <x:c r="P16" s="7" t="n">
        <x:v>8</x:v>
      </x:c>
      <x:c r="Q16" s="7" t="str">
        <x:v>H</x:v>
      </x:c>
      <x:c r="R16" s="7" t="str"/>
    </x:row>
    <x:row r="17">
      <x:c r="A17" s="7" t="str">
        <x:v>DEV-016</x:v>
      </x:c>
      <x:c r="B17" s="7" t="str">
        <x:v>Story</x:v>
      </x:c>
      <x:c r="C17" s="7" t="str">
        <x:v>E01 Platform Foundation</x:v>
      </x:c>
      <x:c r="D17" s="7" t="str">
        <x:v>Audit</x:v>
      </x:c>
      <x:c r="E17" s="7" t="str">
        <x:v>Immutable audit event foundation</x:v>
      </x:c>
      <x:c r="F17" s="7" t="str">
        <x:v>Auditor olarak kritik değişikliklerin kim/ne zaman/neden geçmişini görmek istiyorum.</x:v>
      </x:c>
      <x:c r="G17" s="7" t="str">
        <x:v>Actor, role, tenant, vessel, before/after, reason, timestamp, correlation ID kaydedilir; kritik write coverage hedefi %100.</x:v>
      </x:c>
      <x:c r="H17" s="7" t="str">
        <x:v>/api/v1/audit</x:v>
      </x:c>
      <x:c r="I17" s="7" t="str">
        <x:v>P0</x:v>
      </x:c>
      <x:c r="J17" s="7" t="str">
        <x:v>S1</x:v>
      </x:c>
      <x:c r="K17" s="7" t="str">
        <x:v>Backend</x:v>
      </x:c>
      <x:c r="L17" s="7" t="str">
        <x:v>DEV-014,DEV-015</x:v>
      </x:c>
      <x:c r="M17" s="7" t="str">
        <x:v>T-S1-004</x:v>
      </x:c>
      <x:c r="N17" s="7" t="str">
        <x:v>Not Started</x:v>
      </x:c>
      <x:c r="O17" s="7" t="str">
        <x:v>YES</x:v>
      </x:c>
      <x:c r="P17" s="7" t="n">
        <x:v>8</x:v>
      </x:c>
      <x:c r="Q17" s="7" t="str">
        <x:v>H</x:v>
      </x:c>
      <x:c r="R17" s="7" t="str"/>
    </x:row>
    <x:row r="18">
      <x:c r="A18" s="7" t="str">
        <x:v>DEV-017</x:v>
      </x:c>
      <x:c r="B18" s="7" t="str">
        <x:v>Story</x:v>
      </x:c>
      <x:c r="C18" s="7" t="str">
        <x:v>E20 Production Hardening</x:v>
      </x:c>
      <x:c r="D18" s="7" t="str">
        <x:v>Secrets</x:v>
      </x:c>
      <x:c r="E18" s="7" t="str">
        <x:v>Secret management foundation</x:v>
      </x:c>
      <x:c r="F18" s="7" t="str">
        <x:v>Ops olarak credential'ların kod/UI/log içinde bulunmamasını istiyorum.</x:v>
      </x:c>
      <x:c r="G18" s="7" t="str">
        <x:v>DB/OIDC/object storage secrets vault/reference ile sağlanır; repository ve client bundle secret scan PASS.</x:v>
      </x:c>
      <x:c r="H18" s="7" t="str">
        <x:v>Secrets</x:v>
      </x:c>
      <x:c r="I18" s="7" t="str">
        <x:v>P0</x:v>
      </x:c>
      <x:c r="J18" s="7" t="str">
        <x:v>S1</x:v>
      </x:c>
      <x:c r="K18" s="7" t="str">
        <x:v>DevOps</x:v>
      </x:c>
      <x:c r="L18" s="7" t="str">
        <x:v>DEV-003,DEV-006</x:v>
      </x:c>
      <x:c r="M18" s="7" t="str">
        <x:v>T-S1-005</x:v>
      </x:c>
      <x:c r="N18" s="7" t="str">
        <x:v>Not Started</x:v>
      </x:c>
      <x:c r="O18" s="7" t="str">
        <x:v>YES</x:v>
      </x:c>
      <x:c r="P18" s="7" t="n">
        <x:v>5</x:v>
      </x:c>
      <x:c r="Q18" s="7" t="str">
        <x:v>M</x:v>
      </x:c>
      <x:c r="R18" s="7" t="str"/>
    </x:row>
    <x:row r="19">
      <x:c r="A19" s="7" t="str">
        <x:v>DEV-018</x:v>
      </x:c>
      <x:c r="B19" s="7" t="str">
        <x:v>Story</x:v>
      </x:c>
      <x:c r="C19" s="7" t="str">
        <x:v>E20 Production Hardening</x:v>
      </x:c>
      <x:c r="D19" s="7" t="str">
        <x:v>Files</x:v>
      </x:c>
      <x:c r="E19" s="7" t="str">
        <x:v>Secure file upload pipeline</x:v>
      </x:c>
      <x:c r="F19" s="7" t="str">
        <x:v>Kullanıcı olarak evidence dosyalarını güvenli yüklemek istiyorum.</x:v>
      </x:c>
      <x:c r="G19" s="7" t="str">
        <x:v>Type/size/checksum validation, malware hook, signed access, tenant scope ve audit uygulanır; rejected file state mutate etmez.</x:v>
      </x:c>
      <x:c r="H19" s="7" t="str">
        <x:v>/api/v1/files</x:v>
      </x:c>
      <x:c r="I19" s="7" t="str">
        <x:v>P0</x:v>
      </x:c>
      <x:c r="J19" s="7" t="str">
        <x:v>S1</x:v>
      </x:c>
      <x:c r="K19" s="7" t="str">
        <x:v>Backend</x:v>
      </x:c>
      <x:c r="L19" s="7" t="str">
        <x:v>DEV-017</x:v>
      </x:c>
      <x:c r="M19" s="7" t="str">
        <x:v>T-S1-006</x:v>
      </x:c>
      <x:c r="N19" s="7" t="str">
        <x:v>Not Started</x:v>
      </x:c>
      <x:c r="O19" s="7" t="str">
        <x:v>YES</x:v>
      </x:c>
      <x:c r="P19" s="7" t="n">
        <x:v>8</x:v>
      </x:c>
      <x:c r="Q19" s="7" t="str">
        <x:v>H</x:v>
      </x:c>
      <x:c r="R19" s="7" t="str"/>
    </x:row>
    <x:row r="20">
      <x:c r="A20" s="7" t="str">
        <x:v>DEV-019</x:v>
      </x:c>
      <x:c r="B20" s="7" t="str">
        <x:v>Task</x:v>
      </x:c>
      <x:c r="C20" s="7" t="str">
        <x:v>E20 Production Hardening</x:v>
      </x:c>
      <x:c r="D20" s="7" t="str">
        <x:v>Security Test</x:v>
      </x:c>
      <x:c r="E20" s="7" t="str">
        <x:v>Tenant/RBAC automated tests</x:v>
      </x:c>
      <x:c r="F20" s="7" t="str">
        <x:v>QA olarak yetki regresyonunu otomatik görmek istiyorum.</x:v>
      </x:c>
      <x:c r="G20" s="7" t="str">
        <x:v>Cross-tenant, role escalation, vessel scope ve protected object negatif testleri CI'da koşar.</x:v>
      </x:c>
      <x:c r="H20" s="7" t="str">
        <x:v>Security Tests</x:v>
      </x:c>
      <x:c r="I20" s="7" t="str">
        <x:v>P0</x:v>
      </x:c>
      <x:c r="J20" s="7" t="str">
        <x:v>S1</x:v>
      </x:c>
      <x:c r="K20" s="7" t="str">
        <x:v>QA</x:v>
      </x:c>
      <x:c r="L20" s="7" t="str">
        <x:v>DEV-014,DEV-015</x:v>
      </x:c>
      <x:c r="M20" s="7" t="str">
        <x:v>T-S1-007</x:v>
      </x:c>
      <x:c r="N20" s="7" t="str">
        <x:v>Not Started</x:v>
      </x:c>
      <x:c r="O20" s="7" t="str">
        <x:v>YES</x:v>
      </x:c>
      <x:c r="P20" s="7" t="n">
        <x:v>5</x:v>
      </x:c>
      <x:c r="Q20" s="7" t="str">
        <x:v>H</x:v>
      </x:c>
      <x:c r="R20" s="7" t="str"/>
    </x:row>
    <x:row r="21">
      <x:c r="A21" s="7" t="str">
        <x:v>DEV-020</x:v>
      </x:c>
      <x:c r="B21" s="7" t="str">
        <x:v>Story</x:v>
      </x:c>
      <x:c r="C21" s="7" t="str">
        <x:v>E02 Vessel &amp; Fleet Context</x:v>
      </x:c>
      <x:c r="D21" s="7" t="str">
        <x:v>Vessel</x:v>
      </x:c>
      <x:c r="E21" s="7" t="str">
        <x:v>Vessel master ve regulatory profile</x:v>
      </x:c>
      <x:c r="F21" s="7" t="str">
        <x:v>DPA olarak pilot geminin tek kontrollü profile sahip olmasını istiyorum.</x:v>
      </x:c>
      <x:c r="G21" s="7" t="str">
        <x:v>IMO no, flag, class, ship type, GT, build/trading/cargo context versioned kaydedilir; provenance/freshness görünür.</x:v>
      </x:c>
      <x:c r="H21" s="7" t="str">
        <x:v>fleet-vessels / /api/v1/vessels</x:v>
      </x:c>
      <x:c r="I21" s="7" t="str">
        <x:v>P0</x:v>
      </x:c>
      <x:c r="J21" s="7" t="str">
        <x:v>S2</x:v>
      </x:c>
      <x:c r="K21" s="7" t="str">
        <x:v>Backend+Frontend</x:v>
      </x:c>
      <x:c r="L21" s="7" t="str">
        <x:v>DEV-005,DEV-014</x:v>
      </x:c>
      <x:c r="M21" s="7" t="str">
        <x:v>T-S2-001</x:v>
      </x:c>
      <x:c r="N21" s="7" t="str">
        <x:v>Not Started</x:v>
      </x:c>
      <x:c r="O21" s="7" t="str">
        <x:v>YES</x:v>
      </x:c>
      <x:c r="P21" s="7" t="n">
        <x:v>8</x:v>
      </x:c>
      <x:c r="Q21" s="7" t="str">
        <x:v>M</x:v>
      </x:c>
      <x:c r="R21" s="7" t="str"/>
    </x:row>
    <x:row r="22">
      <x:c r="A22" s="7" t="str">
        <x:v>DEV-021</x:v>
      </x:c>
      <x:c r="B22" s="7" t="str">
        <x:v>Story</x:v>
      </x:c>
      <x:c r="C22" s="7" t="str">
        <x:v>E02 Vessel &amp; Fleet Context</x:v>
      </x:c>
      <x:c r="D22" s="7" t="str">
        <x:v>Live Context</x:v>
      </x:c>
      <x:c r="E22" s="7" t="str">
        <x:v>Global vessel/role context</x:v>
      </x:c>
      <x:c r="F22" s="7" t="str">
        <x:v>Kullanıcı olarak hangi gemi ve rol bağlamında çalıştığımı her ekranda görmek istiyorum.</x:v>
      </x:c>
      <x:c r="G22" s="7" t="str">
        <x:v>Context topbar görünür; vessel switch authorization check yapar; unsaved critical form context change'i uyarır.</x:v>
      </x:c>
      <x:c r="H22" s="7" t="str">
        <x:v>UI Shell</x:v>
      </x:c>
      <x:c r="I22" s="7" t="str">
        <x:v>P0</x:v>
      </x:c>
      <x:c r="J22" s="7" t="str">
        <x:v>S2</x:v>
      </x:c>
      <x:c r="K22" s="7" t="str">
        <x:v>Frontend</x:v>
      </x:c>
      <x:c r="L22" s="7" t="str">
        <x:v>DEV-015,DEV-020</x:v>
      </x:c>
      <x:c r="M22" s="7" t="str">
        <x:v>T-S2-002</x:v>
      </x:c>
      <x:c r="N22" s="7" t="str">
        <x:v>Not Started</x:v>
      </x:c>
      <x:c r="O22" s="7" t="str">
        <x:v>YES</x:v>
      </x:c>
      <x:c r="P22" s="7" t="n">
        <x:v>5</x:v>
      </x:c>
      <x:c r="Q22" s="7" t="str">
        <x:v>M</x:v>
      </x:c>
      <x:c r="R22" s="7" t="str"/>
    </x:row>
    <x:row r="23">
      <x:c r="A23" s="7" t="str">
        <x:v>DEV-022</x:v>
      </x:c>
      <x:c r="B23" s="7" t="str">
        <x:v>Story</x:v>
      </x:c>
      <x:c r="C23" s="7" t="str">
        <x:v>E01 Platform Foundation</x:v>
      </x:c>
      <x:c r="D23" s="7" t="str">
        <x:v>Navigation</x:v>
      </x:c>
      <x:c r="E23" s="7" t="str">
        <x:v>Role-first navigation shell</x:v>
      </x:c>
      <x:c r="F23" s="7" t="str">
        <x:v>Master/Chief Engineer/Crew olarak yalnız günlük görevime uygun menüyü görmek istiyorum.</x:v>
      </x:c>
      <x:c r="G23" s="7" t="str">
        <x:v>Role lens ile sade menü gelir; Full product search authorized power users'a açıktır; 172 ekran düz menü olarak gösterilmez.</x:v>
      </x:c>
      <x:c r="H23" s="7" t="str">
        <x:v>App Shell</x:v>
      </x:c>
      <x:c r="I23" s="7" t="str">
        <x:v>P0</x:v>
      </x:c>
      <x:c r="J23" s="7" t="str">
        <x:v>S2</x:v>
      </x:c>
      <x:c r="K23" s="7" t="str">
        <x:v>Frontend</x:v>
      </x:c>
      <x:c r="L23" s="7" t="str">
        <x:v>DEV-015,DEV-021</x:v>
      </x:c>
      <x:c r="M23" s="7" t="str">
        <x:v>T-S2-003</x:v>
      </x:c>
      <x:c r="N23" s="7" t="str">
        <x:v>Not Started</x:v>
      </x:c>
      <x:c r="O23" s="7" t="str">
        <x:v>YES</x:v>
      </x:c>
      <x:c r="P23" s="7" t="n">
        <x:v>8</x:v>
      </x:c>
      <x:c r="Q23" s="7" t="str">
        <x:v>M</x:v>
      </x:c>
      <x:c r="R23" s="7" t="str"/>
    </x:row>
    <x:row r="24">
      <x:c r="A24" s="7" t="str">
        <x:v>DEV-023</x:v>
      </x:c>
      <x:c r="B24" s="7" t="str">
        <x:v>Story</x:v>
      </x:c>
      <x:c r="C24" s="7" t="str">
        <x:v>E15 Search &amp; Notifications</x:v>
      </x:c>
      <x:c r="D24" s="7" t="str">
        <x:v>Today</x:v>
      </x:c>
      <x:c r="E24" s="7" t="str">
        <x:v>POSEIDON Today shell</x:v>
      </x:c>
      <x:c r="F24" s="7" t="str">
        <x:v>Kullanıcı olarak bugünkü kritik işleri tek listede görmek istiyorum.</x:v>
      </x:c>
      <x:c r="G24" s="7" t="str">
        <x:v>Exception cards priority/source/Why/owner/next action taşır; loading/empty/error/offline states deterministiktir.</x:v>
      </x:c>
      <x:c r="H24" s="7" t="str">
        <x:v>poseidon-today / /api/v1/today</x:v>
      </x:c>
      <x:c r="I24" s="7" t="str">
        <x:v>P0</x:v>
      </x:c>
      <x:c r="J24" s="7" t="str">
        <x:v>S2</x:v>
      </x:c>
      <x:c r="K24" s="7" t="str">
        <x:v>Frontend+Backend</x:v>
      </x:c>
      <x:c r="L24" s="7" t="str">
        <x:v>DEV-021,DEV-022</x:v>
      </x:c>
      <x:c r="M24" s="7" t="str">
        <x:v>T-S2-004</x:v>
      </x:c>
      <x:c r="N24" s="7" t="str">
        <x:v>Not Started</x:v>
      </x:c>
      <x:c r="O24" s="7" t="str">
        <x:v>YES</x:v>
      </x:c>
      <x:c r="P24" s="7" t="n">
        <x:v>8</x:v>
      </x:c>
      <x:c r="Q24" s="7" t="str">
        <x:v>M</x:v>
      </x:c>
      <x:c r="R24" s="7" t="str"/>
    </x:row>
    <x:row r="25">
      <x:c r="A25" s="7" t="str">
        <x:v>DEV-024</x:v>
      </x:c>
      <x:c r="B25" s="7" t="str">
        <x:v>Story</x:v>
      </x:c>
      <x:c r="C25" s="7" t="str">
        <x:v>E05 Human Decision &amp; Workflow</x:v>
      </x:c>
      <x:c r="D25" s="7" t="str">
        <x:v>Why</x:v>
      </x:c>
      <x:c r="E25" s="7" t="str">
        <x:v>Why Engine temel kontratı</x:v>
      </x:c>
      <x:c r="F25" s="7" t="str">
        <x:v>Kullanıcı olarak bir state'in neden oluştuğunu görmek istiyorum.</x:v>
      </x:c>
      <x:c r="G25" s="7" t="str">
        <x:v>Critical state için source/reason/input freshness/blocker listesi döner; unauthorized source detail sızmaz.</x:v>
      </x:c>
      <x:c r="H25" s="7" t="str">
        <x:v>why-engine / /api/v1/why</x:v>
      </x:c>
      <x:c r="I25" s="7" t="str">
        <x:v>P0</x:v>
      </x:c>
      <x:c r="J25" s="7" t="str">
        <x:v>S2</x:v>
      </x:c>
      <x:c r="K25" s="7" t="str">
        <x:v>Backend</x:v>
      </x:c>
      <x:c r="L25" s="7" t="str">
        <x:v>DEV-016,DEV-023</x:v>
      </x:c>
      <x:c r="M25" s="7" t="str">
        <x:v>T-S2-005</x:v>
      </x:c>
      <x:c r="N25" s="7" t="str">
        <x:v>Not Started</x:v>
      </x:c>
      <x:c r="O25" s="7" t="str">
        <x:v>YES</x:v>
      </x:c>
      <x:c r="P25" s="7" t="n">
        <x:v>8</x:v>
      </x:c>
      <x:c r="Q25" s="7" t="str">
        <x:v>M</x:v>
      </x:c>
      <x:c r="R25" s="7" t="str"/>
    </x:row>
    <x:row r="26">
      <x:c r="A26" s="7" t="str">
        <x:v>DEV-025</x:v>
      </x:c>
      <x:c r="B26" s="7" t="str">
        <x:v>Task</x:v>
      </x:c>
      <x:c r="C26" s="7" t="str">
        <x:v>E20 Production Hardening</x:v>
      </x:c>
      <x:c r="D26" s="7" t="str">
        <x:v>Accessibility</x:v>
      </x:c>
      <x:c r="E26" s="7" t="str">
        <x:v>UI accessibility baseline</x:v>
      </x:c>
      <x:c r="F26" s="7" t="str">
        <x:v>Kullanıcı olarak renk dışında metin/state ile bilgi almak istiyorum.</x:v>
      </x:c>
      <x:c r="G26" s="7" t="str">
        <x:v>Keyboard focus, contrast, status text/icon, responsive breakpoints ve form error semantics temel shell'de PASS.</x:v>
      </x:c>
      <x:c r="H26" s="7" t="str">
        <x:v>Design System</x:v>
      </x:c>
      <x:c r="I26" s="7" t="str">
        <x:v>P1</x:v>
      </x:c>
      <x:c r="J26" s="7" t="str">
        <x:v>S2</x:v>
      </x:c>
      <x:c r="K26" s="7" t="str">
        <x:v>Frontend/UX</x:v>
      </x:c>
      <x:c r="L26" s="7" t="str">
        <x:v>DEV-022</x:v>
      </x:c>
      <x:c r="M26" s="7" t="str">
        <x:v>T-S2-006</x:v>
      </x:c>
      <x:c r="N26" s="7" t="str">
        <x:v>Not Started</x:v>
      </x:c>
      <x:c r="O26" s="7" t="str">
        <x:v>NO</x:v>
      </x:c>
      <x:c r="P26" s="7" t="n">
        <x:v>5</x:v>
      </x:c>
      <x:c r="Q26" s="7" t="str">
        <x:v>L</x:v>
      </x:c>
      <x:c r="R26" s="7" t="str"/>
    </x:row>
    <x:row r="27">
      <x:c r="A27" s="7" t="str">
        <x:v>DEV-026</x:v>
      </x:c>
      <x:c r="B27" s="7" t="str">
        <x:v>Story</x:v>
      </x:c>
      <x:c r="C27" s="7" t="str">
        <x:v>E03 Regulatory Core</x:v>
      </x:c>
      <x:c r="D27" s="7" t="str">
        <x:v>Requirement</x:v>
      </x:c>
      <x:c r="E27" s="7" t="str">
        <x:v>Requirement/source/version entity</x:v>
      </x:c>
      <x:c r="F27" s="7" t="str">
        <x:v>Regulatory admin olarak requirement'ları source/version lifecycle ile yönetmek istiyorum.</x:v>
      </x:c>
      <x:c r="G27" s="7" t="str">
        <x:v>Draft/adopted/future/in-force/superseded ayrımı vardır; current source silent overwrite edilmez.</x:v>
      </x:c>
      <x:c r="H27" s="7" t="str">
        <x:v>requirement-master / /api/v1/requirements</x:v>
      </x:c>
      <x:c r="I27" s="7" t="str">
        <x:v>P0</x:v>
      </x:c>
      <x:c r="J27" s="7" t="str">
        <x:v>S3</x:v>
      </x:c>
      <x:c r="K27" s="7" t="str">
        <x:v>Backend</x:v>
      </x:c>
      <x:c r="L27" s="7" t="str">
        <x:v>DEV-005,DEV-008</x:v>
      </x:c>
      <x:c r="M27" s="7" t="str">
        <x:v>T-S3-001</x:v>
      </x:c>
      <x:c r="N27" s="7" t="str">
        <x:v>Not Started</x:v>
      </x:c>
      <x:c r="O27" s="7" t="str">
        <x:v>YES</x:v>
      </x:c>
      <x:c r="P27" s="7" t="n">
        <x:v>8</x:v>
      </x:c>
      <x:c r="Q27" s="7" t="str">
        <x:v>H</x:v>
      </x:c>
      <x:c r="R27" s="7" t="str"/>
    </x:row>
    <x:row r="28">
      <x:c r="A28" s="7" t="str">
        <x:v>DEV-027</x:v>
      </x:c>
      <x:c r="B28" s="7" t="str">
        <x:v>Story</x:v>
      </x:c>
      <x:c r="C28" s="7" t="str">
        <x:v>E03 Regulatory Core</x:v>
      </x:c>
      <x:c r="D28" s="7" t="str">
        <x:v>Applicability</x:v>
      </x:c>
      <x:c r="E28" s="7" t="str">
        <x:v>Applicability evaluation engine v1</x:v>
      </x:c>
      <x:c r="F28" s="7" t="str">
        <x:v>DPA olarak pilot gemiye hangi requirement'ın neden uygulandığını görmek istiyorum.</x:v>
      </x:c>
      <x:c r="G28" s="7" t="str">
        <x:v>Flag/type/GT/build/cargo/trading context predicate'leri versioned; result APPLICABLE/NOT_APPLICABLE/REVIEW_REQUIRED + reason döner.</x:v>
      </x:c>
      <x:c r="H28" s="7" t="str">
        <x:v>applicability / /api/v1/applicability/evaluate</x:v>
      </x:c>
      <x:c r="I28" s="7" t="str">
        <x:v>P0</x:v>
      </x:c>
      <x:c r="J28" s="7" t="str">
        <x:v>S3</x:v>
      </x:c>
      <x:c r="K28" s="7" t="str">
        <x:v>Backend</x:v>
      </x:c>
      <x:c r="L28" s="7" t="str">
        <x:v>DEV-020,DEV-026</x:v>
      </x:c>
      <x:c r="M28" s="7" t="str">
        <x:v>T-S3-002</x:v>
      </x:c>
      <x:c r="N28" s="7" t="str">
        <x:v>Not Started</x:v>
      </x:c>
      <x:c r="O28" s="7" t="str">
        <x:v>YES</x:v>
      </x:c>
      <x:c r="P28" s="7" t="n">
        <x:v>13</x:v>
      </x:c>
      <x:c r="Q28" s="7" t="str">
        <x:v>H</x:v>
      </x:c>
      <x:c r="R28" s="7" t="str"/>
    </x:row>
    <x:row r="29">
      <x:c r="A29" s="7" t="str">
        <x:v>DEV-028</x:v>
      </x:c>
      <x:c r="B29" s="7" t="str">
        <x:v>Story</x:v>
      </x:c>
      <x:c r="C29" s="7" t="str">
        <x:v>E04 Control &amp; Evidence</x:v>
      </x:c>
      <x:c r="D29" s="7" t="str">
        <x:v>Control</x:v>
      </x:c>
      <x:c r="E29" s="7" t="str">
        <x:v>Operational Control entity</x:v>
      </x:c>
      <x:c r="F29" s="7" t="str">
        <x:v>Regulatory/safety admin olarak requirement'ı operasyonel kontrole bağlamak istiyorum.</x:v>
      </x:c>
      <x:c r="G29" s="7" t="str">
        <x:v>Owner/frequency/evidence rule/verification rule/state ve requirement links kaydedilir; orphan critical control raporlanır.</x:v>
      </x:c>
      <x:c r="H29" s="7" t="str">
        <x:v>/api/v1/controls</x:v>
      </x:c>
      <x:c r="I29" s="7" t="str">
        <x:v>P0</x:v>
      </x:c>
      <x:c r="J29" s="7" t="str">
        <x:v>S3</x:v>
      </x:c>
      <x:c r="K29" s="7" t="str">
        <x:v>Backend</x:v>
      </x:c>
      <x:c r="L29" s="7" t="str">
        <x:v>DEV-026,DEV-027</x:v>
      </x:c>
      <x:c r="M29" s="7" t="str">
        <x:v>T-S3-003</x:v>
      </x:c>
      <x:c r="N29" s="7" t="str">
        <x:v>Not Started</x:v>
      </x:c>
      <x:c r="O29" s="7" t="str">
        <x:v>YES</x:v>
      </x:c>
      <x:c r="P29" s="7" t="n">
        <x:v>8</x:v>
      </x:c>
      <x:c r="Q29" s="7" t="str">
        <x:v>M</x:v>
      </x:c>
      <x:c r="R29" s="7" t="str"/>
    </x:row>
    <x:row r="30">
      <x:c r="A30" s="7" t="str">
        <x:v>DEV-029</x:v>
      </x:c>
      <x:c r="B30" s="7" t="str">
        <x:v>Story</x:v>
      </x:c>
      <x:c r="C30" s="7" t="str">
        <x:v>E04 Control &amp; Evidence</x:v>
      </x:c>
      <x:c r="D30" s="7" t="str">
        <x:v>Evidence</x:v>
      </x:c>
      <x:c r="E30" s="7" t="str">
        <x:v>Evidence graph foundation</x:v>
      </x:c>
      <x:c r="F30" s="7" t="str">
        <x:v>Kullanıcı olarak bir kanıtı birden fazla gereksinimi desteklemek için kullanmak istiyorum.</x:v>
      </x:c>
      <x:c r="G30" s="7" t="str">
        <x:v>Evidence immutable metadata/checksum/provenance ile kaydedilir; many-to-many links; stale/expired/superseded durumu görünür.</x:v>
      </x:c>
      <x:c r="H30" s="7" t="str">
        <x:v>/api/v1/evidence</x:v>
      </x:c>
      <x:c r="I30" s="7" t="str">
        <x:v>P0</x:v>
      </x:c>
      <x:c r="J30" s="7" t="str">
        <x:v>S3</x:v>
      </x:c>
      <x:c r="K30" s="7" t="str">
        <x:v>Backend</x:v>
      </x:c>
      <x:c r="L30" s="7" t="str">
        <x:v>DEV-018,DEV-028</x:v>
      </x:c>
      <x:c r="M30" s="7" t="str">
        <x:v>T-S3-004</x:v>
      </x:c>
      <x:c r="N30" s="7" t="str">
        <x:v>Not Started</x:v>
      </x:c>
      <x:c r="O30" s="7" t="str">
        <x:v>YES</x:v>
      </x:c>
      <x:c r="P30" s="7" t="n">
        <x:v>13</x:v>
      </x:c>
      <x:c r="Q30" s="7" t="str">
        <x:v>H</x:v>
      </x:c>
      <x:c r="R30" s="7" t="str"/>
    </x:row>
    <x:row r="31">
      <x:c r="A31" s="7" t="str">
        <x:v>DEV-030</x:v>
      </x:c>
      <x:c r="B31" s="7" t="str">
        <x:v>Story</x:v>
      </x:c>
      <x:c r="C31" s="7" t="str">
        <x:v>E04 Control &amp; Evidence</x:v>
      </x:c>
      <x:c r="D31" s="7" t="str">
        <x:v>Verification</x:v>
      </x:c>
      <x:c r="E31" s="7" t="str">
        <x:v>Verification record ve gate</x:v>
      </x:c>
      <x:c r="F31" s="7" t="str">
        <x:v>Verifier olarak kanıtı kabul/reject etmek ve gerekçe bırakmak istiyorum.</x:v>
      </x:c>
      <x:c r="G31" s="7" t="str">
        <x:v>Verifier authorization + separation-of-duties; PENDING/VERIFIED/REJECTED/EXPIRED/SUPERSEDED; evidence existence alone state'i kapatmaz.</x:v>
      </x:c>
      <x:c r="H31" s="7" t="str">
        <x:v>/api/v1/verifications</x:v>
      </x:c>
      <x:c r="I31" s="7" t="str">
        <x:v>P0</x:v>
      </x:c>
      <x:c r="J31" s="7" t="str">
        <x:v>S3</x:v>
      </x:c>
      <x:c r="K31" s="7" t="str">
        <x:v>Backend</x:v>
      </x:c>
      <x:c r="L31" s="7" t="str">
        <x:v>DEV-015,DEV-029</x:v>
      </x:c>
      <x:c r="M31" s="7" t="str">
        <x:v>T-S3-005</x:v>
      </x:c>
      <x:c r="N31" s="7" t="str">
        <x:v>Not Started</x:v>
      </x:c>
      <x:c r="O31" s="7" t="str">
        <x:v>YES</x:v>
      </x:c>
      <x:c r="P31" s="7" t="n">
        <x:v>8</x:v>
      </x:c>
      <x:c r="Q31" s="7" t="str">
        <x:v>H</x:v>
      </x:c>
      <x:c r="R31" s="7" t="str"/>
    </x:row>
    <x:row r="32">
      <x:c r="A32" s="7" t="str">
        <x:v>DEV-031</x:v>
      </x:c>
      <x:c r="B32" s="7" t="str">
        <x:v>Story</x:v>
      </x:c>
      <x:c r="C32" s="7" t="str">
        <x:v>E05 Human Decision &amp; Workflow</x:v>
      </x:c>
      <x:c r="D32" s="7" t="str">
        <x:v>Decision</x:v>
      </x:c>
      <x:c r="E32" s="7" t="str">
        <x:v>Authorized Human Decision foundation</x:v>
      </x:c>
      <x:c r="F32" s="7" t="str">
        <x:v>Master/DPA olarak kritik kararı gerekçesiyle vermek istiyorum.</x:v>
      </x:c>
      <x:c r="G32" s="7" t="str">
        <x:v>Authorized role + context + reason + decision lineage kaydedilir; AI veya generic admin final decision oluşturamaz.</x:v>
      </x:c>
      <x:c r="H32" s="7" t="str">
        <x:v>/api/v1/decisions</x:v>
      </x:c>
      <x:c r="I32" s="7" t="str">
        <x:v>P0</x:v>
      </x:c>
      <x:c r="J32" s="7" t="str">
        <x:v>S3</x:v>
      </x:c>
      <x:c r="K32" s="7" t="str">
        <x:v>Backend</x:v>
      </x:c>
      <x:c r="L32" s="7" t="str">
        <x:v>DEV-030</x:v>
      </x:c>
      <x:c r="M32" s="7" t="str">
        <x:v>T-S3-006</x:v>
      </x:c>
      <x:c r="N32" s="7" t="str">
        <x:v>Not Started</x:v>
      </x:c>
      <x:c r="O32" s="7" t="str">
        <x:v>YES</x:v>
      </x:c>
      <x:c r="P32" s="7" t="n">
        <x:v>8</x:v>
      </x:c>
      <x:c r="Q32" s="7" t="str">
        <x:v>H</x:v>
      </x:c>
      <x:c r="R32" s="7" t="str"/>
    </x:row>
    <x:row r="33">
      <x:c r="A33" s="7" t="str">
        <x:v>DEV-032</x:v>
      </x:c>
      <x:c r="B33" s="7" t="str">
        <x:v>Task</x:v>
      </x:c>
      <x:c r="C33" s="7" t="str">
        <x:v>E17 Assurance &amp; Audit</x:v>
      </x:c>
      <x:c r="D33" s="7" t="str">
        <x:v>Trace UI</x:v>
      </x:c>
      <x:c r="E33" s="7" t="str">
        <x:v>Requirement-to-decision trace görünümü</x:v>
      </x:c>
      <x:c r="F33" s="7" t="str">
        <x:v>Auditor olarak requirement'tan karara kadar tek trace görmek istiyorum.</x:v>
      </x:c>
      <x:c r="G33" s="7" t="str">
        <x:v>Requirement→control→evidence→verification→decision state ve timestamps source-grounded drill-down ile görünür.</x:v>
      </x:c>
      <x:c r="H33" s="7" t="str">
        <x:v>audit-ready</x:v>
      </x:c>
      <x:c r="I33" s="7" t="str">
        <x:v>P0</x:v>
      </x:c>
      <x:c r="J33" s="7" t="str">
        <x:v>S3</x:v>
      </x:c>
      <x:c r="K33" s="7" t="str">
        <x:v>Frontend</x:v>
      </x:c>
      <x:c r="L33" s="7" t="str">
        <x:v>DEV-027:DEV-031</x:v>
      </x:c>
      <x:c r="M33" s="7" t="str">
        <x:v>T-S3-007</x:v>
      </x:c>
      <x:c r="N33" s="7" t="str">
        <x:v>Not Started</x:v>
      </x:c>
      <x:c r="O33" s="7" t="str">
        <x:v>YES</x:v>
      </x:c>
      <x:c r="P33" s="7" t="n">
        <x:v>8</x:v>
      </x:c>
      <x:c r="Q33" s="7" t="str">
        <x:v>M</x:v>
      </x:c>
      <x:c r="R33" s="7" t="str"/>
    </x:row>
    <x:row r="34">
      <x:c r="A34" s="7" t="str">
        <x:v>DEV-033</x:v>
      </x:c>
      <x:c r="B34" s="7" t="str">
        <x:v>Story</x:v>
      </x:c>
      <x:c r="C34" s="7" t="str">
        <x:v>E13 Offline &amp; Sync</x:v>
      </x:c>
      <x:c r="D34" s="7" t="str">
        <x:v>Queue</x:v>
      </x:c>
      <x:c r="E34" s="7" t="str">
        <x:v>Durable offline queue</x:v>
      </x:c>
      <x:c r="F34" s="7" t="str">
        <x:v>Gemide bağlantı yokken supported kayıtları kaybetmeden yapmak istiyorum.</x:v>
      </x:c>
      <x:c r="G34" s="7" t="str">
        <x:v>Client UUID/base version/timestamp ile queue restart sonrası korunur; encrypted local storage; pending state görünür.</x:v>
      </x:c>
      <x:c r="H34" s="7" t="str">
        <x:v>Mobile/Offline Core</x:v>
      </x:c>
      <x:c r="I34" s="7" t="str">
        <x:v>P0</x:v>
      </x:c>
      <x:c r="J34" s="7" t="str">
        <x:v>S4</x:v>
      </x:c>
      <x:c r="K34" s="7" t="str">
        <x:v>Frontend</x:v>
      </x:c>
      <x:c r="L34" s="7" t="str">
        <x:v>DEV-021,DEV-029</x:v>
      </x:c>
      <x:c r="M34" s="7" t="str">
        <x:v>T-S4-001</x:v>
      </x:c>
      <x:c r="N34" s="7" t="str">
        <x:v>Not Started</x:v>
      </x:c>
      <x:c r="O34" s="7" t="str">
        <x:v>YES</x:v>
      </x:c>
      <x:c r="P34" s="7" t="n">
        <x:v>13</x:v>
      </x:c>
      <x:c r="Q34" s="7" t="str">
        <x:v>H</x:v>
      </x:c>
      <x:c r="R34" s="7" t="str"/>
    </x:row>
    <x:row r="35">
      <x:c r="A35" s="7" t="str">
        <x:v>DEV-034</x:v>
      </x:c>
      <x:c r="B35" s="7" t="str">
        <x:v>Story</x:v>
      </x:c>
      <x:c r="C35" s="7" t="str">
        <x:v>E13 Offline &amp; Sync</x:v>
      </x:c>
      <x:c r="D35" s="7" t="str">
        <x:v>Sync</x:v>
      </x:c>
      <x:c r="E35" s="7" t="str">
        <x:v>Idempotent sync API</x:v>
      </x:c>
      <x:c r="F35" s="7" t="str">
        <x:v>Sistem olarak reconnect sonrası duplicate oluşturmadan kayıtları göndermek istiyorum.</x:v>
      </x:c>
      <x:c r="G35" s="7" t="str">
        <x:v>Idempotency key + expected version; retry duplicate critical state yaratmaz; server authoritative result döner.</x:v>
      </x:c>
      <x:c r="H35" s="7" t="str">
        <x:v>/api/v1/sync/operations</x:v>
      </x:c>
      <x:c r="I35" s="7" t="str">
        <x:v>P0</x:v>
      </x:c>
      <x:c r="J35" s="7" t="str">
        <x:v>S4</x:v>
      </x:c>
      <x:c r="K35" s="7" t="str">
        <x:v>Backend</x:v>
      </x:c>
      <x:c r="L35" s="7" t="str">
        <x:v>DEV-033</x:v>
      </x:c>
      <x:c r="M35" s="7" t="str">
        <x:v>T-S4-002</x:v>
      </x:c>
      <x:c r="N35" s="7" t="str">
        <x:v>Not Started</x:v>
      </x:c>
      <x:c r="O35" s="7" t="str">
        <x:v>YES</x:v>
      </x:c>
      <x:c r="P35" s="7" t="n">
        <x:v>13</x:v>
      </x:c>
      <x:c r="Q35" s="7" t="str">
        <x:v>H</x:v>
      </x:c>
      <x:c r="R35" s="7" t="str"/>
    </x:row>
    <x:row r="36">
      <x:c r="A36" s="7" t="str">
        <x:v>DEV-035</x:v>
      </x:c>
      <x:c r="B36" s="7" t="str">
        <x:v>Story</x:v>
      </x:c>
      <x:c r="C36" s="7" t="str">
        <x:v>E13 Offline &amp; Sync</x:v>
      </x:c>
      <x:c r="D36" s="7" t="str">
        <x:v>Conflict</x:v>
      </x:c>
      <x:c r="E36" s="7" t="str">
        <x:v>Material conflict center</x:v>
      </x:c>
      <x:c r="F36" s="7" t="str">
        <x:v>Yetkili kullanıcı olarak kritik conflict'i açıkça çözmek istiyorum.</x:v>
      </x:c>
      <x:c r="G36" s="7" t="str">
        <x:v>High-risk conflict auto overwrite olmaz; before/local/server context gösterilir; human resolution audit edilir.</x:v>
      </x:c>
      <x:c r="H36" s="7" t="str">
        <x:v>offline-conflict-center / /api/v1/sync/conflicts</x:v>
      </x:c>
      <x:c r="I36" s="7" t="str">
        <x:v>P0</x:v>
      </x:c>
      <x:c r="J36" s="7" t="str">
        <x:v>S4</x:v>
      </x:c>
      <x:c r="K36" s="7" t="str">
        <x:v>Full Stack</x:v>
      </x:c>
      <x:c r="L36" s="7" t="str">
        <x:v>DEV-034,DEV-016</x:v>
      </x:c>
      <x:c r="M36" s="7" t="str">
        <x:v>T-S4-003</x:v>
      </x:c>
      <x:c r="N36" s="7" t="str">
        <x:v>Not Started</x:v>
      </x:c>
      <x:c r="O36" s="7" t="str">
        <x:v>YES</x:v>
      </x:c>
      <x:c r="P36" s="7" t="n">
        <x:v>8</x:v>
      </x:c>
      <x:c r="Q36" s="7" t="str">
        <x:v>H</x:v>
      </x:c>
      <x:c r="R36" s="7" t="str"/>
    </x:row>
    <x:row r="37">
      <x:c r="A37" s="7" t="str">
        <x:v>DEV-036</x:v>
      </x:c>
      <x:c r="B37" s="7" t="str">
        <x:v>Story</x:v>
      </x:c>
      <x:c r="C37" s="7" t="str">
        <x:v>E15 Search &amp; Notifications</x:v>
      </x:c>
      <x:c r="D37" s="7" t="str">
        <x:v>Notification</x:v>
      </x:c>
      <x:c r="E37" s="7" t="str">
        <x:v>Notification/escalation engine v1</x:v>
      </x:c>
      <x:c r="F37" s="7" t="str">
        <x:v>Owner olarak kritik deadline ve exception'ları zamanında almak istiyorum.</x:v>
      </x:c>
      <x:c r="G37" s="7" t="str">
        <x:v>Severity/due/state trigger; dedupe; acknowledgement/escalation audit; mandatory critical route user preference ile susturulamaz.</x:v>
      </x:c>
      <x:c r="H37" s="7" t="str">
        <x:v>notification-escalation</x:v>
      </x:c>
      <x:c r="I37" s="7" t="str">
        <x:v>P1</x:v>
      </x:c>
      <x:c r="J37" s="7" t="str">
        <x:v>S4</x:v>
      </x:c>
      <x:c r="K37" s="7" t="str">
        <x:v>Backend</x:v>
      </x:c>
      <x:c r="L37" s="7" t="str">
        <x:v>DEV-016</x:v>
      </x:c>
      <x:c r="M37" s="7" t="str">
        <x:v>T-S4-004</x:v>
      </x:c>
      <x:c r="N37" s="7" t="str">
        <x:v>Not Started</x:v>
      </x:c>
      <x:c r="O37" s="7" t="str">
        <x:v>YES</x:v>
      </x:c>
      <x:c r="P37" s="7" t="n">
        <x:v>8</x:v>
      </x:c>
      <x:c r="Q37" s="7" t="str">
        <x:v>M</x:v>
      </x:c>
      <x:c r="R37" s="7" t="str"/>
    </x:row>
    <x:row r="38">
      <x:c r="A38" s="7" t="str">
        <x:v>DEV-037</x:v>
      </x:c>
      <x:c r="B38" s="7" t="str">
        <x:v>Story</x:v>
      </x:c>
      <x:c r="C38" s="7" t="str">
        <x:v>E20 Production Hardening</x:v>
      </x:c>
      <x:c r="D38" s="7" t="str">
        <x:v>Observability</x:v>
      </x:c>
      <x:c r="E38" s="7" t="str">
        <x:v>Health dashboard v1</x:v>
      </x:c>
      <x:c r="F38" s="7" t="str">
        <x:v>Ops olarak API, sync ve audit sağlığını ayırarak görmek istiyorum.</x:v>
      </x:c>
      <x:c r="G38" s="7" t="str">
        <x:v>API errors/latency, sync backlog/conflict, audit writer, file service ve data freshness metrikleri görünür.</x:v>
      </x:c>
      <x:c r="H38" s="7" t="str">
        <x:v>system-health</x:v>
      </x:c>
      <x:c r="I38" s="7" t="str">
        <x:v>P0</x:v>
      </x:c>
      <x:c r="J38" s="7" t="str">
        <x:v>S4</x:v>
      </x:c>
      <x:c r="K38" s="7" t="str">
        <x:v>DevOps+Frontend</x:v>
      </x:c>
      <x:c r="L38" s="7" t="str">
        <x:v>DEV-011,DEV-034</x:v>
      </x:c>
      <x:c r="M38" s="7" t="str">
        <x:v>T-S4-005</x:v>
      </x:c>
      <x:c r="N38" s="7" t="str">
        <x:v>Not Started</x:v>
      </x:c>
      <x:c r="O38" s="7" t="str">
        <x:v>YES</x:v>
      </x:c>
      <x:c r="P38" s="7" t="n">
        <x:v>8</x:v>
      </x:c>
      <x:c r="Q38" s="7" t="str">
        <x:v>M</x:v>
      </x:c>
      <x:c r="R38" s="7" t="str"/>
    </x:row>
    <x:row r="39">
      <x:c r="A39" s="7" t="str">
        <x:v>DEV-038</x:v>
      </x:c>
      <x:c r="B39" s="7" t="str">
        <x:v>Task</x:v>
      </x:c>
      <x:c r="C39" s="7" t="str">
        <x:v>E13 Offline &amp; Sync</x:v>
      </x:c>
      <x:c r="D39" s="7" t="str">
        <x:v>Chaos</x:v>
      </x:c>
      <x:c r="E39" s="7" t="str">
        <x:v>Offline chaos regression pack</x:v>
      </x:c>
      <x:c r="F39" s="7" t="str">
        <x:v>QA olarak network loss/duplicate/clock drift/attachment retry'ı otomatik test etmek istiyorum.</x:v>
      </x:c>
      <x:c r="G39" s="7" t="str">
        <x:v>Network drop/reconnect, duplicate request, stale base version, attachment retry, conflict paths otomasyonda PASS.</x:v>
      </x:c>
      <x:c r="H39" s="7" t="str">
        <x:v>Offline Tests</x:v>
      </x:c>
      <x:c r="I39" s="7" t="str">
        <x:v>P0</x:v>
      </x:c>
      <x:c r="J39" s="7" t="str">
        <x:v>S4</x:v>
      </x:c>
      <x:c r="K39" s="7" t="str">
        <x:v>QA</x:v>
      </x:c>
      <x:c r="L39" s="7" t="str">
        <x:v>DEV-033:DEV-035</x:v>
      </x:c>
      <x:c r="M39" s="7" t="str">
        <x:v>T-S4-006</x:v>
      </x:c>
      <x:c r="N39" s="7" t="str">
        <x:v>Not Started</x:v>
      </x:c>
      <x:c r="O39" s="7" t="str">
        <x:v>YES</x:v>
      </x:c>
      <x:c r="P39" s="7" t="n">
        <x:v>8</x:v>
      </x:c>
      <x:c r="Q39" s="7" t="str">
        <x:v>H</x:v>
      </x:c>
      <x:c r="R39" s="7" t="str"/>
    </x:row>
    <x:row r="40">
      <x:c r="A40" s="7" t="str">
        <x:v>DEV-039</x:v>
      </x:c>
      <x:c r="B40" s="7" t="str">
        <x:v>Story</x:v>
      </x:c>
      <x:c r="C40" s="7" t="str">
        <x:v>E02 Vessel &amp; Fleet Context</x:v>
      </x:c>
      <x:c r="D40" s="7" t="str">
        <x:v>Onboarding</x:v>
      </x:c>
      <x:c r="E40" s="7" t="str">
        <x:v>Pilot vessel onboarding wizard</x:v>
      </x:c>
      <x:c r="F40" s="7" t="str">
        <x:v>Implementation admin olarak pilot gemiyi kontrollü şekilde sisteme almak istiyorum.</x:v>
      </x:c>
      <x:c r="G40" s="7" t="str">
        <x:v>Identity/profile/flag/class/type/GT/cargo/trading context completeness kontrolü; missing critical field REVIEW_REQUIRED üretir.</x:v>
      </x:c>
      <x:c r="H40" s="7" t="str">
        <x:v>fleet-vessels</x:v>
      </x:c>
      <x:c r="I40" s="7" t="str">
        <x:v>P0</x:v>
      </x:c>
      <x:c r="J40" s="7" t="str">
        <x:v>S5</x:v>
      </x:c>
      <x:c r="K40" s="7" t="str">
        <x:v>Full Stack</x:v>
      </x:c>
      <x:c r="L40" s="7" t="str">
        <x:v>DEV-020,DEV-027</x:v>
      </x:c>
      <x:c r="M40" s="7" t="str">
        <x:v>T-S5-001</x:v>
      </x:c>
      <x:c r="N40" s="7" t="str">
        <x:v>Not Started</x:v>
      </x:c>
      <x:c r="O40" s="7" t="str">
        <x:v>YES</x:v>
      </x:c>
      <x:c r="P40" s="7" t="n">
        <x:v>8</x:v>
      </x:c>
      <x:c r="Q40" s="7" t="str">
        <x:v>M</x:v>
      </x:c>
      <x:c r="R40" s="7" t="str"/>
    </x:row>
    <x:row r="41">
      <x:c r="A41" s="7" t="str">
        <x:v>DEV-040</x:v>
      </x:c>
      <x:c r="B41" s="7" t="str">
        <x:v>Story</x:v>
      </x:c>
      <x:c r="C41" s="7" t="str">
        <x:v>E03 Regulatory Core</x:v>
      </x:c>
      <x:c r="D41" s="7" t="str">
        <x:v>Applicability UI</x:v>
      </x:c>
      <x:c r="E41" s="7" t="str">
        <x:v>Applicability reason review</x:v>
      </x:c>
      <x:c r="F41" s="7" t="str">
        <x:v>Regulatory owner olarak otomatik applicability sonucunu incelemek istiyorum.</x:v>
      </x:c>
      <x:c r="G41" s="7" t="str">
        <x:v>Rule version, inputs, source, result, reviewer state görünür; manual override controlled reason + audit gerektirir.</x:v>
      </x:c>
      <x:c r="H41" s="7" t="str">
        <x:v>applicability</x:v>
      </x:c>
      <x:c r="I41" s="7" t="str">
        <x:v>P0</x:v>
      </x:c>
      <x:c r="J41" s="7" t="str">
        <x:v>S5</x:v>
      </x:c>
      <x:c r="K41" s="7" t="str">
        <x:v>Full Stack</x:v>
      </x:c>
      <x:c r="L41" s="7" t="str">
        <x:v>DEV-027,DEV-039</x:v>
      </x:c>
      <x:c r="M41" s="7" t="str">
        <x:v>T-S5-002</x:v>
      </x:c>
      <x:c r="N41" s="7" t="str">
        <x:v>Not Started</x:v>
      </x:c>
      <x:c r="O41" s="7" t="str">
        <x:v>YES</x:v>
      </x:c>
      <x:c r="P41" s="7" t="n">
        <x:v>8</x:v>
      </x:c>
      <x:c r="Q41" s="7" t="str">
        <x:v>H</x:v>
      </x:c>
      <x:c r="R41" s="7" t="str"/>
    </x:row>
    <x:row r="42">
      <x:c r="A42" s="7" t="str">
        <x:v>DEV-041</x:v>
      </x:c>
      <x:c r="B42" s="7" t="str">
        <x:v>Story</x:v>
      </x:c>
      <x:c r="C42" s="7" t="str">
        <x:v>E04 Control &amp; Evidence</x:v>
      </x:c>
      <x:c r="D42" s="7" t="str">
        <x:v>Control generation</x:v>
      </x:c>
      <x:c r="E42" s="7" t="str">
        <x:v>Applicable controls oluştur</x:v>
      </x:c>
      <x:c r="F42" s="7" t="str">
        <x:v>DPA olarak pilot gemi için gereken control/evidence planını görmek istiyorum.</x:v>
      </x:c>
      <x:c r="G42" s="7" t="str">
        <x:v>Applicable requirement'lar kontrollere bağlanır; owner/frequency/evidence/verification fields vardır; orphan critical requirement=0 hedeflenir.</x:v>
      </x:c>
      <x:c r="H42" s="7" t="str">
        <x:v>control-library</x:v>
      </x:c>
      <x:c r="I42" s="7" t="str">
        <x:v>P0</x:v>
      </x:c>
      <x:c r="J42" s="7" t="str">
        <x:v>S5</x:v>
      </x:c>
      <x:c r="K42" s="7" t="str">
        <x:v>Backend</x:v>
      </x:c>
      <x:c r="L42" s="7" t="str">
        <x:v>DEV-028,DEV-040</x:v>
      </x:c>
      <x:c r="M42" s="7" t="str">
        <x:v>T-S5-003</x:v>
      </x:c>
      <x:c r="N42" s="7" t="str">
        <x:v>Not Started</x:v>
      </x:c>
      <x:c r="O42" s="7" t="str">
        <x:v>YES</x:v>
      </x:c>
      <x:c r="P42" s="7" t="n">
        <x:v>8</x:v>
      </x:c>
      <x:c r="Q42" s="7" t="str">
        <x:v>H</x:v>
      </x:c>
      <x:c r="R42" s="7" t="str"/>
    </x:row>
    <x:row r="43">
      <x:c r="A43" s="7" t="str">
        <x:v>DEV-042</x:v>
      </x:c>
      <x:c r="B43" s="7" t="str">
        <x:v>Story</x:v>
      </x:c>
      <x:c r="C43" s="7" t="str">
        <x:v>E02 Vessel &amp; Fleet Context</x:v>
      </x:c>
      <x:c r="D43" s="7" t="str">
        <x:v>Passport</x:v>
      </x:c>
      <x:c r="E43" s="7" t="str">
        <x:v>Digital Compliance Passport pilot view</x:v>
      </x:c>
      <x:c r="F43" s="7" t="str">
        <x:v>DPA/Auditor olarak geminin requirement/certificate/evidence durumunu tek yerde görmek istiyorum.</x:v>
      </x:c>
      <x:c r="G43" s="7" t="str">
        <x:v>Current applicable requirements, certificates, evidence completeness, blockers ve source freshness drill-down ile görünür.</x:v>
      </x:c>
      <x:c r="H43" s="7" t="str">
        <x:v>digital-compliance-passport</x:v>
      </x:c>
      <x:c r="I43" s="7" t="str">
        <x:v>P1</x:v>
      </x:c>
      <x:c r="J43" s="7" t="str">
        <x:v>S5</x:v>
      </x:c>
      <x:c r="K43" s="7" t="str">
        <x:v>Frontend</x:v>
      </x:c>
      <x:c r="L43" s="7" t="str">
        <x:v>DEV-032,DEV-041</x:v>
      </x:c>
      <x:c r="M43" s="7" t="str">
        <x:v>T-S5-004</x:v>
      </x:c>
      <x:c r="N43" s="7" t="str">
        <x:v>Not Started</x:v>
      </x:c>
      <x:c r="O43" s="7" t="str">
        <x:v>YES</x:v>
      </x:c>
      <x:c r="P43" s="7" t="n">
        <x:v>8</x:v>
      </x:c>
      <x:c r="Q43" s="7" t="str">
        <x:v>M</x:v>
      </x:c>
      <x:c r="R43" s="7" t="str"/>
    </x:row>
    <x:row r="44">
      <x:c r="A44" s="7" t="str">
        <x:v>DEV-043</x:v>
      </x:c>
      <x:c r="B44" s="7" t="str">
        <x:v>Story</x:v>
      </x:c>
      <x:c r="C44" s="7" t="str">
        <x:v>E17 Assurance &amp; Audit</x:v>
      </x:c>
      <x:c r="D44" s="7" t="str">
        <x:v>Certificates</x:v>
      </x:c>
      <x:c r="E44" s="7" t="str">
        <x:v>Certificate Intelligence Center</x:v>
      </x:c>
      <x:c r="F44" s="7" t="str">
        <x:v>DPA/Crewing olarak yaklaşan expiry ve survey window'u tek listede görmek istiyorum.</x:v>
      </x:c>
      <x:c r="G44" s="7" t="str">
        <x:v>VALID/DUE/SURVEY_WINDOW/EXPIRED/REVIEW_REQUIRED state; issuer/source/verification; vessel/crew scope filtreleri.</x:v>
      </x:c>
      <x:c r="H44" s="7" t="str">
        <x:v>certificate-command-center</x:v>
      </x:c>
      <x:c r="I44" s="7" t="str">
        <x:v>P0</x:v>
      </x:c>
      <x:c r="J44" s="7" t="str">
        <x:v>S6</x:v>
      </x:c>
      <x:c r="K44" s="7" t="str">
        <x:v>Full Stack</x:v>
      </x:c>
      <x:c r="L44" s="7" t="str">
        <x:v>DEV-020,DEV-030</x:v>
      </x:c>
      <x:c r="M44" s="7" t="str">
        <x:v>T-S6-001</x:v>
      </x:c>
      <x:c r="N44" s="7" t="str">
        <x:v>Not Started</x:v>
      </x:c>
      <x:c r="O44" s="7" t="str">
        <x:v>YES</x:v>
      </x:c>
      <x:c r="P44" s="7" t="n">
        <x:v>13</x:v>
      </x:c>
      <x:c r="Q44" s="7" t="str">
        <x:v>M</x:v>
      </x:c>
      <x:c r="R44" s="7" t="str"/>
    </x:row>
    <x:row r="45">
      <x:c r="A45" s="7" t="str">
        <x:v>DEV-044</x:v>
      </x:c>
      <x:c r="B45" s="7" t="str">
        <x:v>Story</x:v>
      </x:c>
      <x:c r="C45" s="7" t="str">
        <x:v>E17 Assurance &amp; Audit</x:v>
      </x:c>
      <x:c r="D45" s="7" t="str">
        <x:v>Renewal</x:v>
      </x:c>
      <x:c r="E45" s="7" t="str">
        <x:v>Renewal workflow v1</x:v>
      </x:c>
      <x:c r="F45" s="7" t="str">
        <x:v>Certificate owner olarak yenilemeyi survey/application/yeni belge/verification adımlarıyla yönetmek istiyorum.</x:v>
      </x:c>
      <x:c r="G45" s="7" t="str">
        <x:v>Owner/actions/due/survey window/new certificate evidence/verification; old certificate superseded history korunur.</x:v>
      </x:c>
      <x:c r="H45" s="7" t="str">
        <x:v>renewal-workflow</x:v>
      </x:c>
      <x:c r="I45" s="7" t="str">
        <x:v>P1</x:v>
      </x:c>
      <x:c r="J45" s="7" t="str">
        <x:v>S6</x:v>
      </x:c>
      <x:c r="K45" s="7" t="str">
        <x:v>Full Stack</x:v>
      </x:c>
      <x:c r="L45" s="7" t="str">
        <x:v>DEV-043</x:v>
      </x:c>
      <x:c r="M45" s="7" t="str">
        <x:v>T-S6-002</x:v>
      </x:c>
      <x:c r="N45" s="7" t="str">
        <x:v>Not Started</x:v>
      </x:c>
      <x:c r="O45" s="7" t="str">
        <x:v>YES</x:v>
      </x:c>
      <x:c r="P45" s="7" t="n">
        <x:v>8</x:v>
      </x:c>
      <x:c r="Q45" s="7" t="str">
        <x:v>M</x:v>
      </x:c>
      <x:c r="R45" s="7" t="str"/>
    </x:row>
    <x:row r="46">
      <x:c r="A46" s="7" t="str">
        <x:v>DEV-045</x:v>
      </x:c>
      <x:c r="B46" s="7" t="str">
        <x:v>Story</x:v>
      </x:c>
      <x:c r="C46" s="7" t="str">
        <x:v>E19 Fleet Intelligence</x:v>
      </x:c>
      <x:c r="D46" s="7" t="str">
        <x:v>AI OCR</x:v>
      </x:c>
      <x:c r="E46" s="7" t="str">
        <x:v>Certificate OCR assist</x:v>
      </x:c>
      <x:c r="F46" s="7" t="str">
        <x:v>Kullanıcı olarak sertifika foto/PDF'inden alanları otomatik taslak almak istiyorum.</x:v>
      </x:c>
      <x:c r="G46" s="7" t="str">
        <x:v>Belge tipi/no/issuer/dates/vessel-person çıkarılır; confidence gösterilir; low confidence vurgulanır; user confirm olmadan save/state mutation yok.</x:v>
      </x:c>
      <x:c r="H46" s="7" t="str">
        <x:v>certificate-command-center / AI extraction</x:v>
      </x:c>
      <x:c r="I46" s="7" t="str">
        <x:v>P0</x:v>
      </x:c>
      <x:c r="J46" s="7" t="str">
        <x:v>S6</x:v>
      </x:c>
      <x:c r="K46" s="7" t="str">
        <x:v>AI+Full Stack</x:v>
      </x:c>
      <x:c r="L46" s="7" t="str">
        <x:v>DEV-018,DEV-043</x:v>
      </x:c>
      <x:c r="M46" s="7" t="str">
        <x:v>T-S6-003</x:v>
      </x:c>
      <x:c r="N46" s="7" t="str">
        <x:v>Not Started</x:v>
      </x:c>
      <x:c r="O46" s="7" t="str">
        <x:v>YES</x:v>
      </x:c>
      <x:c r="P46" s="7" t="n">
        <x:v>13</x:v>
      </x:c>
      <x:c r="Q46" s="7" t="str">
        <x:v>H</x:v>
      </x:c>
      <x:c r="R46" s="7" t="str"/>
    </x:row>
    <x:row r="47">
      <x:c r="A47" s="7" t="str">
        <x:v>DEV-046</x:v>
      </x:c>
      <x:c r="B47" s="7" t="str">
        <x:v>Task</x:v>
      </x:c>
      <x:c r="C47" s="7" t="str">
        <x:v>E19 Fleet Intelligence</x:v>
      </x:c>
      <x:c r="D47" s="7" t="str">
        <x:v>AI Evaluation</x:v>
      </x:c>
      <x:c r="E47" s="7" t="str">
        <x:v>OCR golden-set evaluation</x:v>
      </x:c>
      <x:c r="F47" s="7" t="str">
        <x:v>QA olarak extraction kalitesini kontrollü test etmek istiyorum.</x:v>
      </x:c>
      <x:c r="G47" s="7" t="str">
        <x:v>Masked sample set; field-level accuracy/correction rate ölçülür; critical field hallucination/authority bypass yok; model/prompt version loglanır.</x:v>
      </x:c>
      <x:c r="H47" s="7" t="str">
        <x:v>AI Evaluation</x:v>
      </x:c>
      <x:c r="I47" s="7" t="str">
        <x:v>P0</x:v>
      </x:c>
      <x:c r="J47" s="7" t="str">
        <x:v>S6</x:v>
      </x:c>
      <x:c r="K47" s="7" t="str">
        <x:v>AI+QA</x:v>
      </x:c>
      <x:c r="L47" s="7" t="str">
        <x:v>DEV-045,DEV-009</x:v>
      </x:c>
      <x:c r="M47" s="7" t="str">
        <x:v>T-S6-004</x:v>
      </x:c>
      <x:c r="N47" s="7" t="str">
        <x:v>Not Started</x:v>
      </x:c>
      <x:c r="O47" s="7" t="str">
        <x:v>YES</x:v>
      </x:c>
      <x:c r="P47" s="7" t="n">
        <x:v>8</x:v>
      </x:c>
      <x:c r="Q47" s="7" t="str">
        <x:v>H</x:v>
      </x:c>
      <x:c r="R47" s="7" t="str"/>
    </x:row>
    <x:row r="48">
      <x:c r="A48" s="7" t="str">
        <x:v>DEV-047</x:v>
      </x:c>
      <x:c r="B48" s="7" t="str">
        <x:v>Story</x:v>
      </x:c>
      <x:c r="C48" s="7" t="str">
        <x:v>E06 Crew &amp; Competence</x:v>
      </x:c>
      <x:c r="D48" s="7" t="str">
        <x:v>Roster</x:v>
      </x:c>
      <x:c r="E48" s="7" t="str">
        <x:v>Crew roster + profile</x:v>
      </x:c>
      <x:c r="F48" s="7" t="str">
        <x:v>Master/Crewing olarak onboard/planned crew'yu görmek istiyorum.</x:v>
      </x:c>
      <x:c r="G48" s="7" t="str">
        <x:v>Person/assignment/rank/capacity/period scoped; privacy masking and vessel scope; offline supported read/capture as defined.</x:v>
      </x:c>
      <x:c r="H48" s="7" t="str">
        <x:v>crew-roster / crew-profile</x:v>
      </x:c>
      <x:c r="I48" s="7" t="str">
        <x:v>P0</x:v>
      </x:c>
      <x:c r="J48" s="7" t="str">
        <x:v>S7</x:v>
      </x:c>
      <x:c r="K48" s="7" t="str">
        <x:v>Full Stack</x:v>
      </x:c>
      <x:c r="L48" s="7" t="str">
        <x:v>DEV-020,DEV-015</x:v>
      </x:c>
      <x:c r="M48" s="7" t="str">
        <x:v>T-S7-001</x:v>
      </x:c>
      <x:c r="N48" s="7" t="str">
        <x:v>Not Started</x:v>
      </x:c>
      <x:c r="O48" s="7" t="str">
        <x:v>YES</x:v>
      </x:c>
      <x:c r="P48" s="7" t="n">
        <x:v>8</x:v>
      </x:c>
      <x:c r="Q48" s="7" t="str">
        <x:v>M</x:v>
      </x:c>
      <x:c r="R48" s="7" t="str"/>
    </x:row>
    <x:row r="49">
      <x:c r="A49" s="7" t="str">
        <x:v>DEV-048</x:v>
      </x:c>
      <x:c r="B49" s="7" t="str">
        <x:v>Story</x:v>
      </x:c>
      <x:c r="C49" s="7" t="str">
        <x:v>E06 Crew &amp; Competence</x:v>
      </x:c>
      <x:c r="D49" s="7" t="str">
        <x:v>Credentials</x:v>
      </x:c>
      <x:c r="E49" s="7" t="str">
        <x:v>Crew certificates &amp; endorsements</x:v>
      </x:c>
      <x:c r="F49" s="7" t="str">
        <x:v>Crewing olarak STCW/medical/endorsement kayıtlarını doğrulanmış şekilde tutmak istiyorum.</x:v>
      </x:c>
      <x:c r="G49" s="7" t="str">
        <x:v>Issue/expiry/issuer/endorsement/vessel scope/verification; expired/unverified positive eligibility üretmez.</x:v>
      </x:c>
      <x:c r="H49" s="7" t="str">
        <x:v>crew-certificates</x:v>
      </x:c>
      <x:c r="I49" s="7" t="str">
        <x:v>P0</x:v>
      </x:c>
      <x:c r="J49" s="7" t="str">
        <x:v>S7</x:v>
      </x:c>
      <x:c r="K49" s="7" t="str">
        <x:v>Full Stack</x:v>
      </x:c>
      <x:c r="L49" s="7" t="str">
        <x:v>DEV-047,DEV-030</x:v>
      </x:c>
      <x:c r="M49" s="7" t="str">
        <x:v>T-S7-002</x:v>
      </x:c>
      <x:c r="N49" s="7" t="str">
        <x:v>Not Started</x:v>
      </x:c>
      <x:c r="O49" s="7" t="str">
        <x:v>YES</x:v>
      </x:c>
      <x:c r="P49" s="7" t="n">
        <x:v>8</x:v>
      </x:c>
      <x:c r="Q49" s="7" t="str">
        <x:v>H</x:v>
      </x:c>
      <x:c r="R49" s="7" t="str"/>
    </x:row>
    <x:row r="50">
      <x:c r="A50" s="7" t="str">
        <x:v>DEV-049</x:v>
      </x:c>
      <x:c r="B50" s="7" t="str">
        <x:v>Story</x:v>
      </x:c>
      <x:c r="C50" s="7" t="str">
        <x:v>E06 Crew &amp; Competence</x:v>
      </x:c>
      <x:c r="D50" s="7" t="str">
        <x:v>Competence</x:v>
      </x:c>
      <x:c r="E50" s="7" t="str">
        <x:v>Training-position/competence gate</x:v>
      </x:c>
      <x:c r="F50" s="7" t="str">
        <x:v>Crewing olarak pozisyon ve vessel type'a göre gerekli competence/training gap'lerini görmek istiyorum.</x:v>
      </x:c>
      <x:c r="G50" s="7" t="str">
        <x:v>Requirement type, mandatory, validity, vessel/cargo scope, competence/familiarization links; missing gap reason listesinde görünür.</x:v>
      </x:c>
      <x:c r="H50" s="7" t="str">
        <x:v>training-position-matrix</x:v>
      </x:c>
      <x:c r="I50" s="7" t="str">
        <x:v>P0</x:v>
      </x:c>
      <x:c r="J50" s="7" t="str">
        <x:v>S7</x:v>
      </x:c>
      <x:c r="K50" s="7" t="str">
        <x:v>Full Stack</x:v>
      </x:c>
      <x:c r="L50" s="7" t="str">
        <x:v>DEV-048,DEV-027</x:v>
      </x:c>
      <x:c r="M50" s="7" t="str">
        <x:v>T-S7-003</x:v>
      </x:c>
      <x:c r="N50" s="7" t="str">
        <x:v>Not Started</x:v>
      </x:c>
      <x:c r="O50" s="7" t="str">
        <x:v>YES</x:v>
      </x:c>
      <x:c r="P50" s="7" t="n">
        <x:v>8</x:v>
      </x:c>
      <x:c r="Q50" s="7" t="str">
        <x:v>H</x:v>
      </x:c>
      <x:c r="R50" s="7" t="str"/>
    </x:row>
    <x:row r="51">
      <x:c r="A51" s="7" t="str">
        <x:v>DEV-050</x:v>
      </x:c>
      <x:c r="B51" s="7" t="str">
        <x:v>Story</x:v>
      </x:c>
      <x:c r="C51" s="7" t="str">
        <x:v>E06 Crew &amp; Competence</x:v>
      </x:c>
      <x:c r="D51" s="7" t="str">
        <x:v>Safe Manning</x:v>
      </x:c>
      <x:c r="E51" s="7" t="str">
        <x:v>Crew eligibility + Safe Manning evaluation</x:v>
      </x:c>
      <x:c r="F51" s="7" t="str">
        <x:v>Master olarak atamanın ve mevcut manning'in uygunluğunu açıklanabilir şekilde görmek istiyorum.</x:v>
      </x:c>
      <x:c r="G51" s="7" t="str">
        <x:v>Credential+competence+familiarization+work/rest+MSMD constraints değerlendirilir; ELIGIBLE/ATTENTION/NOT_ELIGIBLE/REVIEW_REQUIRED + reason.</x:v>
      </x:c>
      <x:c r="H51" s="7" t="str">
        <x:v>safe-manning / /api/v1/vessels/{id}/safe-manning/evaluate</x:v>
      </x:c>
      <x:c r="I51" s="7" t="str">
        <x:v>P0</x:v>
      </x:c>
      <x:c r="J51" s="7" t="str">
        <x:v>S7</x:v>
      </x:c>
      <x:c r="K51" s="7" t="str">
        <x:v>Backend+Frontend</x:v>
      </x:c>
      <x:c r="L51" s="7" t="str">
        <x:v>DEV-047:DEV-049</x:v>
      </x:c>
      <x:c r="M51" s="7" t="str">
        <x:v>T-S7-004</x:v>
      </x:c>
      <x:c r="N51" s="7" t="str">
        <x:v>Not Started</x:v>
      </x:c>
      <x:c r="O51" s="7" t="str">
        <x:v>YES</x:v>
      </x:c>
      <x:c r="P51" s="7" t="n">
        <x:v>13</x:v>
      </x:c>
      <x:c r="Q51" s="7" t="str">
        <x:v>H</x:v>
      </x:c>
      <x:c r="R51" s="7" t="str"/>
    </x:row>
    <x:row r="52">
      <x:c r="A52" s="7" t="str">
        <x:v>DEV-051</x:v>
      </x:c>
      <x:c r="B52" s="7" t="str">
        <x:v>Task</x:v>
      </x:c>
      <x:c r="C52" s="7" t="str">
        <x:v>E06 Crew &amp; Competence</x:v>
      </x:c>
      <x:c r="D52" s="7" t="str">
        <x:v>Privacy</x:v>
      </x:c>
      <x:c r="E52" s="7" t="str">
        <x:v>Crew privacy access regression</x:v>
      </x:c>
      <x:c r="F52" s="7" t="str">
        <x:v>Privacy owner olarak crew personal data'nın gereksiz rollere sızmamasını istiyorum.</x:v>
      </x:c>
      <x:c r="G52" s="7" t="str">
        <x:v>Purpose/scope masking tests; protected fields generic export/search'ta görünmez; access events audit edilir.</x:v>
      </x:c>
      <x:c r="H52" s="7" t="str">
        <x:v>Crew Security Tests</x:v>
      </x:c>
      <x:c r="I52" s="7" t="str">
        <x:v>P0</x:v>
      </x:c>
      <x:c r="J52" s="7" t="str">
        <x:v>S7</x:v>
      </x:c>
      <x:c r="K52" s="7" t="str">
        <x:v>QA/Security</x:v>
      </x:c>
      <x:c r="L52" s="7" t="str">
        <x:v>DEV-047,DEV-048</x:v>
      </x:c>
      <x:c r="M52" s="7" t="str">
        <x:v>T-S7-005</x:v>
      </x:c>
      <x:c r="N52" s="7" t="str">
        <x:v>Not Started</x:v>
      </x:c>
      <x:c r="O52" s="7" t="str">
        <x:v>YES</x:v>
      </x:c>
      <x:c r="P52" s="7" t="n">
        <x:v>5</x:v>
      </x:c>
      <x:c r="Q52" s="7" t="str">
        <x:v>H</x:v>
      </x:c>
      <x:c r="R52" s="7" t="str"/>
    </x:row>
    <x:row r="53">
      <x:c r="A53" s="7" t="str">
        <x:v>DEV-052</x:v>
      </x:c>
      <x:c r="B53" s="7" t="str">
        <x:v>Story</x:v>
      </x:c>
      <x:c r="C53" s="7" t="str">
        <x:v>E07 Technical Safety</x:v>
      </x:c>
      <x:c r="D53" s="7" t="str">
        <x:v>Equipment</x:v>
      </x:c>
      <x:c r="E53" s="7" t="str">
        <x:v>Equipment hierarchy pilot</x:v>
      </x:c>
      <x:c r="F53" s="7" t="str">
        <x:v>Chief Engineer olarak asset/system/equipment hiyerarşisini yönetmek istiyorum.</x:v>
      </x:c>
      <x:c r="G53" s="7" t="str">
        <x:v>Criticality, maker/model/serial/location/parent-child versioned; vessel scope; invalid cycle bloklanır.</x:v>
      </x:c>
      <x:c r="H53" s="7" t="str">
        <x:v>equipment-hierarchy</x:v>
      </x:c>
      <x:c r="I53" s="7" t="str">
        <x:v>P0</x:v>
      </x:c>
      <x:c r="J53" s="7" t="str">
        <x:v>S8</x:v>
      </x:c>
      <x:c r="K53" s="7" t="str">
        <x:v>Full Stack</x:v>
      </x:c>
      <x:c r="L53" s="7" t="str">
        <x:v>DEV-020</x:v>
      </x:c>
      <x:c r="M53" s="7" t="str">
        <x:v>T-S8-001</x:v>
      </x:c>
      <x:c r="N53" s="7" t="str">
        <x:v>Not Started</x:v>
      </x:c>
      <x:c r="O53" s="7" t="str">
        <x:v>YES</x:v>
      </x:c>
      <x:c r="P53" s="7" t="n">
        <x:v>8</x:v>
      </x:c>
      <x:c r="Q53" s="7" t="str">
        <x:v>M</x:v>
      </x:c>
      <x:c r="R53" s="7" t="str"/>
    </x:row>
    <x:row r="54">
      <x:c r="A54" s="7" t="str">
        <x:v>DEV-053</x:v>
      </x:c>
      <x:c r="B54" s="7" t="str">
        <x:v>Story</x:v>
      </x:c>
      <x:c r="C54" s="7" t="str">
        <x:v>E07 Technical Safety</x:v>
      </x:c>
      <x:c r="D54" s="7" t="str">
        <x:v>PMS</x:v>
      </x:c>
      <x:c r="E54" s="7" t="str">
        <x:v>Maintenance plan + trigger</x:v>
      </x:c>
      <x:c r="F54" s="7" t="str">
        <x:v>Chief Engineer olarak calendar/meter/condition tetikli bakım planı oluşturmak istiyorum.</x:v>
      </x:c>
      <x:c r="G54" s="7" t="str">
        <x:v>Job/interval/meter/condition/criticality/owner; due calculation deterministic; invalid postponement blocked/audited.</x:v>
      </x:c>
      <x:c r="H54" s="7" t="str">
        <x:v>maintenance-plan</x:v>
      </x:c>
      <x:c r="I54" s="7" t="str">
        <x:v>P0</x:v>
      </x:c>
      <x:c r="J54" s="7" t="str">
        <x:v>S8</x:v>
      </x:c>
      <x:c r="K54" s="7" t="str">
        <x:v>Backend+Frontend</x:v>
      </x:c>
      <x:c r="L54" s="7" t="str">
        <x:v>DEV-052</x:v>
      </x:c>
      <x:c r="M54" s="7" t="str">
        <x:v>T-S8-002</x:v>
      </x:c>
      <x:c r="N54" s="7" t="str">
        <x:v>Not Started</x:v>
      </x:c>
      <x:c r="O54" s="7" t="str">
        <x:v>YES</x:v>
      </x:c>
      <x:c r="P54" s="7" t="n">
        <x:v>13</x:v>
      </x:c>
      <x:c r="Q54" s="7" t="str">
        <x:v>H</x:v>
      </x:c>
      <x:c r="R54" s="7" t="str"/>
    </x:row>
    <x:row r="55">
      <x:c r="A55" s="7" t="str">
        <x:v>DEV-054</x:v>
      </x:c>
      <x:c r="B55" s="7" t="str">
        <x:v>Story</x:v>
      </x:c>
      <x:c r="C55" s="7" t="str">
        <x:v>E07 Technical Safety</x:v>
      </x:c>
      <x:c r="D55" s="7" t="str">
        <x:v>Work Order</x:v>
      </x:c>
      <x:c r="E55" s="7" t="str">
        <x:v>Work order execution + evidence</x:v>
      </x:c>
      <x:c r="F55" s="7" t="str">
        <x:v>Crew/Engineer olarak işi uygulayıp required evidence ile göndermek istiyorum.</x:v>
      </x:c>
      <x:c r="G55" s="7" t="str">
        <x:v>RELEASED→IN_PROGRESS→EVIDENCE_SUBMITTED; readings/spares/photo/doc; required evidence yoksa verification/close olmaz.</x:v>
      </x:c>
      <x:c r="H55" s="7" t="str">
        <x:v>work-order-center / work-order-detail</x:v>
      </x:c>
      <x:c r="I55" s="7" t="str">
        <x:v>P0</x:v>
      </x:c>
      <x:c r="J55" s="7" t="str">
        <x:v>S8</x:v>
      </x:c>
      <x:c r="K55" s="7" t="str">
        <x:v>Full Stack</x:v>
      </x:c>
      <x:c r="L55" s="7" t="str">
        <x:v>DEV-029,DEV-053</x:v>
      </x:c>
      <x:c r="M55" s="7" t="str">
        <x:v>T-S8-003</x:v>
      </x:c>
      <x:c r="N55" s="7" t="str">
        <x:v>Not Started</x:v>
      </x:c>
      <x:c r="O55" s="7" t="str">
        <x:v>YES</x:v>
      </x:c>
      <x:c r="P55" s="7" t="n">
        <x:v>13</x:v>
      </x:c>
      <x:c r="Q55" s="7" t="str">
        <x:v>H</x:v>
      </x:c>
      <x:c r="R55" s="7" t="str"/>
    </x:row>
    <x:row r="56">
      <x:c r="A56" s="7" t="str">
        <x:v>DEV-055</x:v>
      </x:c>
      <x:c r="B56" s="7" t="str">
        <x:v>Story</x:v>
      </x:c>
      <x:c r="C56" s="7" t="str">
        <x:v>E07 Technical Safety</x:v>
      </x:c>
      <x:c r="D56" s="7" t="str">
        <x:v>Defect</x:v>
      </x:c>
      <x:c r="E56" s="7" t="str">
        <x:v>Critical defect lifecycle</x:v>
      </x:c>
      <x:c r="F56" s="7" t="str">
        <x:v>Chief Engineer olarak kritik arızayı safeguard ve restriction ile yönetmek istiyorum.</x:v>
      </x:c>
      <x:c r="G56" s="7" t="str">
        <x:v>Detect→Assess→Safeguard→Action→Verify→Effectiveness; critical defect without safeguard cannot close; temporary measure expiry monitored.</x:v>
      </x:c>
      <x:c r="H56" s="7" t="str">
        <x:v>technical-readiness / defect APIs</x:v>
      </x:c>
      <x:c r="I56" s="7" t="str">
        <x:v>P0</x:v>
      </x:c>
      <x:c r="J56" s="7" t="str">
        <x:v>S8</x:v>
      </x:c>
      <x:c r="K56" s="7" t="str">
        <x:v>Full Stack</x:v>
      </x:c>
      <x:c r="L56" s="7" t="str">
        <x:v>DEV-030,DEV-052</x:v>
      </x:c>
      <x:c r="M56" s="7" t="str">
        <x:v>T-S8-004</x:v>
      </x:c>
      <x:c r="N56" s="7" t="str">
        <x:v>Not Started</x:v>
      </x:c>
      <x:c r="O56" s="7" t="str">
        <x:v>YES</x:v>
      </x:c>
      <x:c r="P56" s="7" t="n">
        <x:v>13</x:v>
      </x:c>
      <x:c r="Q56" s="7" t="str">
        <x:v>H</x:v>
      </x:c>
      <x:c r="R56" s="7" t="str"/>
    </x:row>
    <x:row r="57">
      <x:c r="A57" s="7" t="str">
        <x:v>DEV-056</x:v>
      </x:c>
      <x:c r="B57" s="7" t="str">
        <x:v>Story</x:v>
      </x:c>
      <x:c r="C57" s="7" t="str">
        <x:v>E07 Technical Safety</x:v>
      </x:c>
      <x:c r="D57" s="7" t="str">
        <x:v>Readiness</x:v>
      </x:c>
      <x:c r="E57" s="7" t="str">
        <x:v>PMS Command Center</x:v>
      </x:c>
      <x:c r="F57" s="7" t="str">
        <x:v>Chief Engineer olarak overdue critical jobs/defects/spare gaps'i tek yerde görmek istiyorum.</x:v>
      </x:c>
      <x:c r="G57" s="7" t="str">
        <x:v>Critical overdue/open WO/condition alert/spare gap ve Why drill-down; healthy items quiet; stale data visible.</x:v>
      </x:c>
      <x:c r="H57" s="7" t="str">
        <x:v>pms-command-center</x:v>
      </x:c>
      <x:c r="I57" s="7" t="str">
        <x:v>P0</x:v>
      </x:c>
      <x:c r="J57" s="7" t="str">
        <x:v>S8</x:v>
      </x:c>
      <x:c r="K57" s="7" t="str">
        <x:v>Frontend+Backend</x:v>
      </x:c>
      <x:c r="L57" s="7" t="str">
        <x:v>DEV-053:DEV-055</x:v>
      </x:c>
      <x:c r="M57" s="7" t="str">
        <x:v>T-S8-005</x:v>
      </x:c>
      <x:c r="N57" s="7" t="str">
        <x:v>Not Started</x:v>
      </x:c>
      <x:c r="O57" s="7" t="str">
        <x:v>YES</x:v>
      </x:c>
      <x:c r="P57" s="7" t="n">
        <x:v>8</x:v>
      </x:c>
      <x:c r="Q57" s="7" t="str">
        <x:v>M</x:v>
      </x:c>
      <x:c r="R57" s="7" t="str"/>
    </x:row>
    <x:row r="58">
      <x:c r="A58" s="7" t="str">
        <x:v>DEV-057</x:v>
      </x:c>
      <x:c r="B58" s="7" t="str">
        <x:v>Task</x:v>
      </x:c>
      <x:c r="C58" s="7" t="str">
        <x:v>E07 Technical Safety</x:v>
      </x:c>
      <x:c r="D58" s="7" t="str">
        <x:v>Offline PMS</x:v>
      </x:c>
      <x:c r="E58" s="7" t="str">
        <x:v>WO offline execution</x:v>
      </x:c>
      <x:c r="F58" s="7" t="str">
        <x:v>Engineer olarak bağlantı yokken bakım evidence'ını kaybetmeden toplamak istiyorum.</x:v>
      </x:c>
      <x:c r="G58" s="7" t="str">
        <x:v>WO context prefetched; evidence queue durable; reconnect sync idempotent; material field conflict center'a gider.</x:v>
      </x:c>
      <x:c r="H58" s="7" t="str">
        <x:v>mobile-task-center / work-order-detail</x:v>
      </x:c>
      <x:c r="I58" s="7" t="str">
        <x:v>P0</x:v>
      </x:c>
      <x:c r="J58" s="7" t="str">
        <x:v>S8</x:v>
      </x:c>
      <x:c r="K58" s="7" t="str">
        <x:v>Full Stack</x:v>
      </x:c>
      <x:c r="L58" s="7" t="str">
        <x:v>DEV-033:DEV-035,DEV-054</x:v>
      </x:c>
      <x:c r="M58" s="7" t="str">
        <x:v>T-S8-006</x:v>
      </x:c>
      <x:c r="N58" s="7" t="str">
        <x:v>Not Started</x:v>
      </x:c>
      <x:c r="O58" s="7" t="str">
        <x:v>YES</x:v>
      </x:c>
      <x:c r="P58" s="7" t="n">
        <x:v>8</x:v>
      </x:c>
      <x:c r="Q58" s="7" t="str">
        <x:v>H</x:v>
      </x:c>
      <x:c r="R58" s="7" t="str"/>
    </x:row>
    <x:row r="59">
      <x:c r="A59" s="7" t="str">
        <x:v>DEV-058</x:v>
      </x:c>
      <x:c r="B59" s="7" t="str">
        <x:v>Story</x:v>
      </x:c>
      <x:c r="C59" s="7" t="str">
        <x:v>E08 Operations &amp; Readiness</x:v>
      </x:c>
      <x:c r="D59" s="7" t="str">
        <x:v>Departure</x:v>
      </x:c>
      <x:c r="E59" s="7" t="str">
        <x:v>Departure readiness aggregation</x:v>
      </x:c>
      <x:c r="F59" s="7" t="str">
        <x:v>Master olarak kalkıştan önce crew/technical/statutory/emergency blocker'ları görmek istiyorum.</x:v>
      </x:c>
      <x:c r="G59" s="7" t="str">
        <x:v>Readiness state READY/CONDITIONAL/NOT_READY/REVIEW_REQUIRED; critical blocker average score ile maskelenmez; Why listesi vardır.</x:v>
      </x:c>
      <x:c r="H59" s="7" t="str">
        <x:v>departure-signoff</x:v>
      </x:c>
      <x:c r="I59" s="7" t="str">
        <x:v>P0</x:v>
      </x:c>
      <x:c r="J59" s="7" t="str">
        <x:v>S9</x:v>
      </x:c>
      <x:c r="K59" s="7" t="str">
        <x:v>Backend+Frontend</x:v>
      </x:c>
      <x:c r="L59" s="7" t="str">
        <x:v>DEV-042,DEV-050,DEV-055</x:v>
      </x:c>
      <x:c r="M59" s="7" t="str">
        <x:v>T-S9-001</x:v>
      </x:c>
      <x:c r="N59" s="7" t="str">
        <x:v>Not Started</x:v>
      </x:c>
      <x:c r="O59" s="7" t="str">
        <x:v>YES</x:v>
      </x:c>
      <x:c r="P59" s="7" t="n">
        <x:v>13</x:v>
      </x:c>
      <x:c r="Q59" s="7" t="str">
        <x:v>H</x:v>
      </x:c>
      <x:c r="R59" s="7" t="str"/>
    </x:row>
    <x:row r="60">
      <x:c r="A60" s="7" t="str">
        <x:v>DEV-059</x:v>
      </x:c>
      <x:c r="B60" s="7" t="str">
        <x:v>Story</x:v>
      </x:c>
      <x:c r="C60" s="7" t="str">
        <x:v>E05 Human Decision &amp; Workflow</x:v>
      </x:c>
      <x:c r="D60" s="7" t="str">
        <x:v>Master Signoff</x:v>
      </x:c>
      <x:c r="E60" s="7" t="str">
        <x:v>Master departure decision</x:v>
      </x:c>
      <x:c r="F60" s="7" t="str">
        <x:v>Master olarak evidence ve safeguards'i görüp nihai kararı vermek istiyorum.</x:v>
      </x:c>
      <x:c r="G60" s="7" t="str">
        <x:v>Only authorized Master; decision/reason/time/context stored immutable lineage; AI/admin cannot sign; changed material input makes previous decision STALE.</x:v>
      </x:c>
      <x:c r="H60" s="7" t="str">
        <x:v>departure-signoff / /api/v1/decisions</x:v>
      </x:c>
      <x:c r="I60" s="7" t="str">
        <x:v>P0</x:v>
      </x:c>
      <x:c r="J60" s="7" t="str">
        <x:v>S9</x:v>
      </x:c>
      <x:c r="K60" s="7" t="str">
        <x:v>Full Stack</x:v>
      </x:c>
      <x:c r="L60" s="7" t="str">
        <x:v>DEV-031,DEV-058</x:v>
      </x:c>
      <x:c r="M60" s="7" t="str">
        <x:v>T-S9-002</x:v>
      </x:c>
      <x:c r="N60" s="7" t="str">
        <x:v>Not Started</x:v>
      </x:c>
      <x:c r="O60" s="7" t="str">
        <x:v>YES</x:v>
      </x:c>
      <x:c r="P60" s="7" t="n">
        <x:v>8</x:v>
      </x:c>
      <x:c r="Q60" s="7" t="str">
        <x:v>H</x:v>
      </x:c>
      <x:c r="R60" s="7" t="str"/>
    </x:row>
    <x:row r="61">
      <x:c r="A61" s="7" t="str">
        <x:v>DEV-060</x:v>
      </x:c>
      <x:c r="B61" s="7" t="str">
        <x:v>Story</x:v>
      </x:c>
      <x:c r="C61" s="7" t="str">
        <x:v>E10 Safety Events &amp; Learning</x:v>
      </x:c>
      <x:c r="D61" s="7" t="str">
        <x:v>Event</x:v>
      </x:c>
      <x:c r="E61" s="7" t="str">
        <x:v>Safety event/near-miss capture</x:v>
      </x:c>
      <x:c r="F61" s="7" t="str">
        <x:v>Crew olarak olay veya near miss'i hızlı bildirmek istiyorum.</x:v>
      </x:c>
      <x:c r="G61" s="7" t="str">
        <x:v>Type/date/vessel/context/description/evidence; immediate action; protected mode separate where needed; offline capture supported.</x:v>
      </x:c>
      <x:c r="H61" s="7" t="str">
        <x:v>events-learning / /api/v1/safety-events</x:v>
      </x:c>
      <x:c r="I61" s="7" t="str">
        <x:v>P0</x:v>
      </x:c>
      <x:c r="J61" s="7" t="str">
        <x:v>S9</x:v>
      </x:c>
      <x:c r="K61" s="7" t="str">
        <x:v>Full Stack</x:v>
      </x:c>
      <x:c r="L61" s="7" t="str">
        <x:v>DEV-033,DEV-029</x:v>
      </x:c>
      <x:c r="M61" s="7" t="str">
        <x:v>T-S9-003</x:v>
      </x:c>
      <x:c r="N61" s="7" t="str">
        <x:v>Not Started</x:v>
      </x:c>
      <x:c r="O61" s="7" t="str">
        <x:v>YES</x:v>
      </x:c>
      <x:c r="P61" s="7" t="n">
        <x:v>8</x:v>
      </x:c>
      <x:c r="Q61" s="7" t="str">
        <x:v>M</x:v>
      </x:c>
      <x:c r="R61" s="7" t="str"/>
    </x:row>
    <x:row r="62">
      <x:c r="A62" s="7" t="str">
        <x:v>DEV-061</x:v>
      </x:c>
      <x:c r="B62" s="7" t="str">
        <x:v>Story</x:v>
      </x:c>
      <x:c r="C62" s="7" t="str">
        <x:v>E10 Safety Events &amp; Learning</x:v>
      </x:c>
      <x:c r="D62" s="7" t="str">
        <x:v>Investigation</x:v>
      </x:c>
      <x:c r="E62" s="7" t="str">
        <x:v>Event analysis → barrier/action → effectiveness</x:v>
      </x:c>
      <x:c r="F62" s="7" t="str">
        <x:v>DPA olarak olayın kontrol/aksiyon/etkinlik zincirini yönetmek istiyorum.</x:v>
      </x:c>
      <x:c r="G62" s="7" t="str">
        <x:v>Contributing factors/root cause/barrier/action/owner/due/evidence/verification/effectiveness; Closed != Effective.</x:v>
      </x:c>
      <x:c r="H62" s="7" t="str">
        <x:v>events-learning</x:v>
      </x:c>
      <x:c r="I62" s="7" t="str">
        <x:v>P0</x:v>
      </x:c>
      <x:c r="J62" s="7" t="str">
        <x:v>S9</x:v>
      </x:c>
      <x:c r="K62" s="7" t="str">
        <x:v>Full Stack</x:v>
      </x:c>
      <x:c r="L62" s="7" t="str">
        <x:v>DEV-060,DEV-030</x:v>
      </x:c>
      <x:c r="M62" s="7" t="str">
        <x:v>T-S9-004</x:v>
      </x:c>
      <x:c r="N62" s="7" t="str">
        <x:v>Not Started</x:v>
      </x:c>
      <x:c r="O62" s="7" t="str">
        <x:v>YES</x:v>
      </x:c>
      <x:c r="P62" s="7" t="n">
        <x:v>13</x:v>
      </x:c>
      <x:c r="Q62" s="7" t="str">
        <x:v>H</x:v>
      </x:c>
      <x:c r="R62" s="7" t="str"/>
    </x:row>
    <x:row r="63">
      <x:c r="A63" s="7" t="str">
        <x:v>DEV-062</x:v>
      </x:c>
      <x:c r="B63" s="7" t="str">
        <x:v>Story</x:v>
      </x:c>
      <x:c r="C63" s="7" t="str">
        <x:v>E19 Fleet Intelligence</x:v>
      </x:c>
      <x:c r="D63" s="7" t="str">
        <x:v>Voice AI</x:v>
      </x:c>
      <x:c r="E63" s="7" t="str">
        <x:v>Voice-to-event draft</x:v>
      </x:c>
      <x:c r="F63" s="7" t="str">
        <x:v>Crew/Master olarak kısa Türkçe sesli nottan yapılandırılmış olay taslağı almak istiyorum.</x:v>
      </x:c>
      <x:c r="G63" s="7" t="str">
        <x:v>Transcription/draft source trace + confidence; user edit/confirm required; model/prompt/version logged; no autonomous submission/closure.</x:v>
      </x:c>
      <x:c r="H63" s="7" t="str">
        <x:v>events-learning / AI draft</x:v>
      </x:c>
      <x:c r="I63" s="7" t="str">
        <x:v>P1</x:v>
      </x:c>
      <x:c r="J63" s="7" t="str">
        <x:v>S9</x:v>
      </x:c>
      <x:c r="K63" s="7" t="str">
        <x:v>AI+Frontend</x:v>
      </x:c>
      <x:c r="L63" s="7" t="str">
        <x:v>DEV-060</x:v>
      </x:c>
      <x:c r="M63" s="7" t="str">
        <x:v>T-S9-005</x:v>
      </x:c>
      <x:c r="N63" s="7" t="str">
        <x:v>Not Started</x:v>
      </x:c>
      <x:c r="O63" s="7" t="str">
        <x:v>YES</x:v>
      </x:c>
      <x:c r="P63" s="7" t="n">
        <x:v>8</x:v>
      </x:c>
      <x:c r="Q63" s="7" t="str">
        <x:v>M</x:v>
      </x:c>
      <x:c r="R63" s="7" t="str"/>
    </x:row>
    <x:row r="64">
      <x:c r="A64" s="7" t="str">
        <x:v>DEV-063</x:v>
      </x:c>
      <x:c r="B64" s="7" t="str">
        <x:v>Task</x:v>
      </x:c>
      <x:c r="C64" s="7" t="str">
        <x:v>E19 Fleet Intelligence</x:v>
      </x:c>
      <x:c r="D64" s="7" t="str">
        <x:v>Voice AI Test</x:v>
      </x:c>
      <x:c r="E64" s="7" t="str">
        <x:v>Voice draft evaluation</x:v>
      </x:c>
      <x:c r="F64" s="7" t="str">
        <x:v>QA olarak gerçekçi denizcilik notlarında taslak kullanılabilirliğini ölçmek istiyorum.</x:v>
      </x:c>
      <x:c r="G64" s="7" t="str">
        <x:v>Masked test set; field completeness/correction/usability measured; critical fabricated fact=0 in golden set; user rejection is logged.</x:v>
      </x:c>
      <x:c r="H64" s="7" t="str">
        <x:v>AI Evaluation</x:v>
      </x:c>
      <x:c r="I64" s="7" t="str">
        <x:v>P1</x:v>
      </x:c>
      <x:c r="J64" s="7" t="str">
        <x:v>S9</x:v>
      </x:c>
      <x:c r="K64" s="7" t="str">
        <x:v>AI+QA</x:v>
      </x:c>
      <x:c r="L64" s="7" t="str">
        <x:v>DEV-062,DEV-009</x:v>
      </x:c>
      <x:c r="M64" s="7" t="str">
        <x:v>T-S9-006</x:v>
      </x:c>
      <x:c r="N64" s="7" t="str">
        <x:v>Not Started</x:v>
      </x:c>
      <x:c r="O64" s="7" t="str">
        <x:v>YES</x:v>
      </x:c>
      <x:c r="P64" s="7" t="n">
        <x:v>5</x:v>
      </x:c>
      <x:c r="Q64" s="7" t="str">
        <x:v>M</x:v>
      </x:c>
      <x:c r="R64" s="7" t="str"/>
    </x:row>
    <x:row r="65">
      <x:c r="A65" s="7" t="str">
        <x:v>DEV-064</x:v>
      </x:c>
      <x:c r="B65" s="7" t="str">
        <x:v>Story</x:v>
      </x:c>
      <x:c r="C65" s="7" t="str">
        <x:v>E17 Assurance &amp; Audit</x:v>
      </x:c>
      <x:c r="D65" s="7" t="str">
        <x:v>Audit Pack</x:v>
      </x:c>
      <x:c r="E65" s="7" t="str">
        <x:v>Pilot audit-ready pack</x:v>
      </x:c>
      <x:c r="F65" s="7" t="str">
        <x:v>Auditor olarak seçili requirement için kanıtı dakikalar içinde bulmak istiyorum.</x:v>
      </x:c>
      <x:c r="G65" s="7" t="str">
        <x:v>Requirement/control/evidence/verification/decision/history export/view; superseded evidence trace retained; unauthorized protected data excluded.</x:v>
      </x:c>
      <x:c r="H65" s="7" t="str">
        <x:v>audit-ready</x:v>
      </x:c>
      <x:c r="I65" s="7" t="str">
        <x:v>P0</x:v>
      </x:c>
      <x:c r="J65" s="7" t="str">
        <x:v>S10</x:v>
      </x:c>
      <x:c r="K65" s="7" t="str">
        <x:v>Full Stack</x:v>
      </x:c>
      <x:c r="L65" s="7" t="str">
        <x:v>DEV-032,DEV-043,DEV-061</x:v>
      </x:c>
      <x:c r="M65" s="7" t="str">
        <x:v>T-S10-001</x:v>
      </x:c>
      <x:c r="N65" s="7" t="str">
        <x:v>Not Started</x:v>
      </x:c>
      <x:c r="O65" s="7" t="str">
        <x:v>YES</x:v>
      </x:c>
      <x:c r="P65" s="7" t="n">
        <x:v>8</x:v>
      </x:c>
      <x:c r="Q65" s="7" t="str">
        <x:v>M</x:v>
      </x:c>
      <x:c r="R65" s="7" t="str"/>
    </x:row>
    <x:row r="66">
      <x:c r="A66" s="7" t="str">
        <x:v>DEV-065</x:v>
      </x:c>
      <x:c r="B66" s="7" t="str">
        <x:v>Story</x:v>
      </x:c>
      <x:c r="C66" s="7" t="str">
        <x:v>E04 Control &amp; Evidence</x:v>
      </x:c>
      <x:c r="D66" s="7" t="str">
        <x:v>Data Quality</x:v>
      </x:c>
      <x:c r="E66" s="7" t="str">
        <x:v>Evidence/Data quality signals</x:v>
      </x:c>
      <x:c r="F66" s="7" t="str">
        <x:v>DPA olarak missing/stale/conflicting/unverified/orphan durumlarını görmek istiyorum.</x:v>
      </x:c>
      <x:c r="G66" s="7" t="str">
        <x:v>Material data quality state readiness'i degrade eder; source/provenance/freshness visible; false green blocked.</x:v>
      </x:c>
      <x:c r="H66" s="7" t="str">
        <x:v>data-trust-center</x:v>
      </x:c>
      <x:c r="I66" s="7" t="str">
        <x:v>P0</x:v>
      </x:c>
      <x:c r="J66" s="7" t="str">
        <x:v>S10</x:v>
      </x:c>
      <x:c r="K66" s="7" t="str">
        <x:v>Backend+Frontend</x:v>
      </x:c>
      <x:c r="L66" s="7" t="str">
        <x:v>DEV-029,DEV-037</x:v>
      </x:c>
      <x:c r="M66" s="7" t="str">
        <x:v>T-S10-002</x:v>
      </x:c>
      <x:c r="N66" s="7" t="str">
        <x:v>Not Started</x:v>
      </x:c>
      <x:c r="O66" s="7" t="str">
        <x:v>YES</x:v>
      </x:c>
      <x:c r="P66" s="7" t="n">
        <x:v>8</x:v>
      </x:c>
      <x:c r="Q66" s="7" t="str">
        <x:v>H</x:v>
      </x:c>
      <x:c r="R66" s="7" t="str"/>
    </x:row>
    <x:row r="67">
      <x:c r="A67" s="7" t="str">
        <x:v>DEV-066</x:v>
      </x:c>
      <x:c r="B67" s="7" t="str">
        <x:v>Task</x:v>
      </x:c>
      <x:c r="C67" s="7" t="str">
        <x:v>E13 Offline &amp; Sync</x:v>
      </x:c>
      <x:c r="D67" s="7" t="str">
        <x:v>Pilot Offline</x:v>
      </x:c>
      <x:c r="E67" s="7" t="str">
        <x:v>Full pilot offline journey</x:v>
      </x:c>
      <x:c r="F67" s="7" t="str">
        <x:v>Pilot ekibi olarak cert/event/WO kayıtlarında bağlantı kesintisini doğrulamak istiyorum.</x:v>
      </x:c>
      <x:c r="G67" s="7" t="str">
        <x:v>At least three pilot workflows pass network loss/reconnect/duplicate/conflict/attachment retry with no data loss.</x:v>
      </x:c>
      <x:c r="H67" s="7" t="str">
        <x:v>mobile-task-center / offline-conflict-center</x:v>
      </x:c>
      <x:c r="I67" s="7" t="str">
        <x:v>P0</x:v>
      </x:c>
      <x:c r="J67" s="7" t="str">
        <x:v>S10</x:v>
      </x:c>
      <x:c r="K67" s="7" t="str">
        <x:v>QA+Full Stack</x:v>
      </x:c>
      <x:c r="L67" s="7" t="str">
        <x:v>DEV-038,DEV-045,DEV-057,DEV-060</x:v>
      </x:c>
      <x:c r="M67" s="7" t="str">
        <x:v>T-S10-003</x:v>
      </x:c>
      <x:c r="N67" s="7" t="str">
        <x:v>Not Started</x:v>
      </x:c>
      <x:c r="O67" s="7" t="str">
        <x:v>YES</x:v>
      </x:c>
      <x:c r="P67" s="7" t="n">
        <x:v>13</x:v>
      </x:c>
      <x:c r="Q67" s="7" t="str">
        <x:v>H</x:v>
      </x:c>
      <x:c r="R67" s="7" t="str"/>
    </x:row>
    <x:row r="68">
      <x:c r="A68" s="7" t="str">
        <x:v>DEV-067</x:v>
      </x:c>
      <x:c r="B68" s="7" t="str">
        <x:v>Task</x:v>
      </x:c>
      <x:c r="C68" s="7" t="str">
        <x:v>E20 Production Hardening</x:v>
      </x:c>
      <x:c r="D68" s="7" t="str">
        <x:v>Performance</x:v>
      </x:c>
      <x:c r="E68" s="7" t="str">
        <x:v>Pilot workload performance baseline</x:v>
      </x:c>
      <x:c r="F68" s="7" t="str">
        <x:v>Ekip olarak pilot yükünde günlük yüzeylerin hızlı çalıştığını doğrulamak istiyorum.</x:v>
      </x:c>
      <x:c r="G68" s="7" t="str">
        <x:v>Today/readiness/audit queries bounded; agreed p95 envelope recorded; slow query traces actionable.</x:v>
      </x:c>
      <x:c r="H68" s="7" t="str">
        <x:v>Performance Tests</x:v>
      </x:c>
      <x:c r="I68" s="7" t="str">
        <x:v>P1</x:v>
      </x:c>
      <x:c r="J68" s="7" t="str">
        <x:v>S10</x:v>
      </x:c>
      <x:c r="K68" s="7" t="str">
        <x:v>QA/Backend</x:v>
      </x:c>
      <x:c r="L68" s="7" t="str">
        <x:v>DEV-023,DEV-058,DEV-064</x:v>
      </x:c>
      <x:c r="M68" s="7" t="str">
        <x:v>T-S10-004</x:v>
      </x:c>
      <x:c r="N68" s="7" t="str">
        <x:v>Not Started</x:v>
      </x:c>
      <x:c r="O68" s="7" t="str">
        <x:v>YES</x:v>
      </x:c>
      <x:c r="P68" s="7" t="n">
        <x:v>8</x:v>
      </x:c>
      <x:c r="Q68" s="7" t="str">
        <x:v>M</x:v>
      </x:c>
      <x:c r="R68" s="7" t="str"/>
    </x:row>
    <x:row r="69">
      <x:c r="A69" s="7" t="str">
        <x:v>DEV-068</x:v>
      </x:c>
      <x:c r="B69" s="7" t="str">
        <x:v>Task</x:v>
      </x:c>
      <x:c r="C69" s="7" t="str">
        <x:v>E20 Production Hardening</x:v>
      </x:c>
      <x:c r="D69" s="7" t="str">
        <x:v>Security</x:v>
      </x:c>
      <x:c r="E69" s="7" t="str">
        <x:v>Pre-pilot security gate</x:v>
      </x:c>
      <x:c r="F69" s="7" t="str">
        <x:v>Product owner olarak kritik güvenlik bulgusu olmadan pilotu açmak istiyorum.</x:v>
      </x:c>
      <x:c r="G69" s="7" t="str">
        <x:v>RBAC/tenant/file upload/privilege escalation/secret scans pass; unresolved critical/high=0 for pilot scope.</x:v>
      </x:c>
      <x:c r="H69" s="7" t="str">
        <x:v>Security Gate</x:v>
      </x:c>
      <x:c r="I69" s="7" t="str">
        <x:v>P0</x:v>
      </x:c>
      <x:c r="J69" s="7" t="str">
        <x:v>S10</x:v>
      </x:c>
      <x:c r="K69" s="7" t="str">
        <x:v>Security/QA</x:v>
      </x:c>
      <x:c r="L69" s="7" t="str">
        <x:v>DEV-019,DEV-051,DEV-018</x:v>
      </x:c>
      <x:c r="M69" s="7" t="str">
        <x:v>T-S10-005</x:v>
      </x:c>
      <x:c r="N69" s="7" t="str">
        <x:v>Not Started</x:v>
      </x:c>
      <x:c r="O69" s="7" t="str">
        <x:v>YES</x:v>
      </x:c>
      <x:c r="P69" s="7" t="n">
        <x:v>8</x:v>
      </x:c>
      <x:c r="Q69" s="7" t="str">
        <x:v>H</x:v>
      </x:c>
      <x:c r="R69" s="7" t="str"/>
    </x:row>
    <x:row r="70">
      <x:c r="A70" s="7" t="str">
        <x:v>DEV-069</x:v>
      </x:c>
      <x:c r="B70" s="7" t="str">
        <x:v>Story</x:v>
      </x:c>
      <x:c r="C70" s="7" t="str">
        <x:v>E14 Integration &amp; Migration</x:v>
      </x:c>
      <x:c r="D70" s="7" t="str">
        <x:v>Import</x:v>
      </x:c>
      <x:c r="E70" s="7" t="str">
        <x:v>Pilot data import templates</x:v>
      </x:c>
      <x:c r="F70" s="7" t="str">
        <x:v>Implementation ekibi olarak vessel/crew/certificate/equipment verisini kontrollü taşımak istiyorum.</x:v>
      </x:c>
      <x:c r="G70" s="7" t="str">
        <x:v>Template mapping + validation + reject report + provenance; duplicate/key rules; no direct bypass of domain validation.</x:v>
      </x:c>
      <x:c r="H70" s="7" t="str">
        <x:v>Import/Migration</x:v>
      </x:c>
      <x:c r="I70" s="7" t="str">
        <x:v>P0</x:v>
      </x:c>
      <x:c r="J70" s="7" t="str">
        <x:v>S11</x:v>
      </x:c>
      <x:c r="K70" s="7" t="str">
        <x:v>Backend+Implementation</x:v>
      </x:c>
      <x:c r="L70" s="7" t="str">
        <x:v>DEV-020,DEV-047,DEV-052</x:v>
      </x:c>
      <x:c r="M70" s="7" t="str">
        <x:v>T-S11-001</x:v>
      </x:c>
      <x:c r="N70" s="7" t="str">
        <x:v>Not Started</x:v>
      </x:c>
      <x:c r="O70" s="7" t="str">
        <x:v>YES</x:v>
      </x:c>
      <x:c r="P70" s="7" t="n">
        <x:v>8</x:v>
      </x:c>
      <x:c r="Q70" s="7" t="str">
        <x:v>M</x:v>
      </x:c>
      <x:c r="R70" s="7" t="str"/>
    </x:row>
    <x:row r="71">
      <x:c r="A71" s="7" t="str">
        <x:v>DEV-070</x:v>
      </x:c>
      <x:c r="B71" s="7" t="str">
        <x:v>Story</x:v>
      </x:c>
      <x:c r="C71" s="7" t="str">
        <x:v>E14 Integration &amp; Migration</x:v>
      </x:c>
      <x:c r="D71" s="7" t="str">
        <x:v>Reconciliation</x:v>
      </x:c>
      <x:c r="E71" s="7" t="str">
        <x:v>Pilot data reconciliation report</x:v>
      </x:c>
      <x:c r="F71" s="7" t="str">
        <x:v>Müşteri olarak aktarılan verinin doğruluğunu örnekleyip onaylamak istiyorum.</x:v>
      </x:c>
      <x:c r="G71" s="7" t="str">
        <x:v>Source count/accepted/rejected/duplicate/missing critical list; owner sign-off before pilot start.</x:v>
      </x:c>
      <x:c r="H71" s="7" t="str">
        <x:v>Data Reconciliation</x:v>
      </x:c>
      <x:c r="I71" s="7" t="str">
        <x:v>P0</x:v>
      </x:c>
      <x:c r="J71" s="7" t="str">
        <x:v>S11</x:v>
      </x:c>
      <x:c r="K71" s="7" t="str">
        <x:v>Implementation+QA</x:v>
      </x:c>
      <x:c r="L71" s="7" t="str">
        <x:v>DEV-069</x:v>
      </x:c>
      <x:c r="M71" s="7" t="str">
        <x:v>T-S11-002</x:v>
      </x:c>
      <x:c r="N71" s="7" t="str">
        <x:v>Not Started</x:v>
      </x:c>
      <x:c r="O71" s="7" t="str">
        <x:v>YES</x:v>
      </x:c>
      <x:c r="P71" s="7" t="n">
        <x:v>5</x:v>
      </x:c>
      <x:c r="Q71" s="7" t="str">
        <x:v>M</x:v>
      </x:c>
      <x:c r="R71" s="7" t="str"/>
    </x:row>
    <x:row r="72">
      <x:c r="A72" s="7" t="str">
        <x:v>DEV-071</x:v>
      </x:c>
      <x:c r="B72" s="7" t="str">
        <x:v>Task</x:v>
      </x:c>
      <x:c r="C72" s="7" t="str">
        <x:v>E20 Production Hardening</x:v>
      </x:c>
      <x:c r="D72" s="7" t="str">
        <x:v>Backup/DR</x:v>
      </x:c>
      <x:c r="E72" s="7" t="str">
        <x:v>Pilot backup &amp; restore rehearsal</x:v>
      </x:c>
      <x:c r="F72" s="7" t="str">
        <x:v>Ops olarak pilot öncesi geri yüklemenin gerçekten çalıştığını görmek istiyorum.</x:v>
      </x:c>
      <x:c r="G72" s="7" t="str">
        <x:v>DB + object evidence backup alınır; restore test edilir; RPO/RTO measured; rollback procedure signed.</x:v>
      </x:c>
      <x:c r="H72" s="7" t="str">
        <x:v>DR Runbook</x:v>
      </x:c>
      <x:c r="I72" s="7" t="str">
        <x:v>P0</x:v>
      </x:c>
      <x:c r="J72" s="7" t="str">
        <x:v>S11</x:v>
      </x:c>
      <x:c r="K72" s="7" t="str">
        <x:v>DevOps</x:v>
      </x:c>
      <x:c r="L72" s="7" t="str">
        <x:v>DEV-003,DEV-018</x:v>
      </x:c>
      <x:c r="M72" s="7" t="str">
        <x:v>T-S11-003</x:v>
      </x:c>
      <x:c r="N72" s="7" t="str">
        <x:v>Not Started</x:v>
      </x:c>
      <x:c r="O72" s="7" t="str">
        <x:v>YES</x:v>
      </x:c>
      <x:c r="P72" s="7" t="n">
        <x:v>8</x:v>
      </x:c>
      <x:c r="Q72" s="7" t="str">
        <x:v>H</x:v>
      </x:c>
      <x:c r="R72" s="7" t="str"/>
    </x:row>
    <x:row r="73">
      <x:c r="A73" s="7" t="str">
        <x:v>DEV-072</x:v>
      </x:c>
      <x:c r="B73" s="7" t="str">
        <x:v>Story</x:v>
      </x:c>
      <x:c r="C73" s="7" t="str">
        <x:v>E15 Search &amp; Notifications</x:v>
      </x:c>
      <x:c r="D73" s="7" t="str">
        <x:v>Pilot Telemetry</x:v>
      </x:c>
      <x:c r="E73" s="7" t="str">
        <x:v>Pilot metrics instrumentation</x:v>
      </x:c>
      <x:c r="F73" s="7" t="str">
        <x:v>PO olarak task success/adoption/evidence search/offline/AI correction metriklerini görmek istiyorum.</x:v>
      </x:c>
      <x:c r="G73" s="7" t="str">
        <x:v>Privacy-safe event schema; role adoption, journey completion, AI correction, sync conflicts, evidence search time ölçülebilir.</x:v>
      </x:c>
      <x:c r="H73" s="7" t="str">
        <x:v>Pilot Metrics</x:v>
      </x:c>
      <x:c r="I73" s="7" t="str">
        <x:v>P0</x:v>
      </x:c>
      <x:c r="J73" s="7" t="str">
        <x:v>S11</x:v>
      </x:c>
      <x:c r="K73" s="7" t="str">
        <x:v>Product Analytics</x:v>
      </x:c>
      <x:c r="L73" s="7" t="str">
        <x:v>DEV-023,DEV-045,DEV-062</x:v>
      </x:c>
      <x:c r="M73" s="7" t="str">
        <x:v>T-S11-004</x:v>
      </x:c>
      <x:c r="N73" s="7" t="str">
        <x:v>Not Started</x:v>
      </x:c>
      <x:c r="O73" s="7" t="str">
        <x:v>YES</x:v>
      </x:c>
      <x:c r="P73" s="7" t="n">
        <x:v>5</x:v>
      </x:c>
      <x:c r="Q73" s="7" t="str">
        <x:v>M</x:v>
      </x:c>
      <x:c r="R73" s="7" t="str"/>
    </x:row>
    <x:row r="74">
      <x:c r="A74" s="7" t="str">
        <x:v>DEV-073</x:v>
      </x:c>
      <x:c r="B74" s="7" t="str">
        <x:v>Task</x:v>
      </x:c>
      <x:c r="C74" s="7" t="str">
        <x:v>E17 Assurance &amp; Audit</x:v>
      </x:c>
      <x:c r="D74" s="7" t="str">
        <x:v>Regulatory Gate</x:v>
      </x:c>
      <x:c r="E74" s="7" t="str">
        <x:v>Pilot regulatory SME review</x:v>
      </x:c>
      <x:c r="F74" s="7" t="str">
        <x:v>PO olarak pilot applicability/control setinin uzman tarafından doğrulandığını bilmek istiyorum.</x:v>
      </x:c>
      <x:c r="G74" s="7" t="str">
        <x:v>Pilot vessel profile için authoritative source/version reviewer sign-off; open ambiguity REVIEW_REQUIRED ve tracked issue olarak kalır.</x:v>
      </x:c>
      <x:c r="H74" s="7" t="str">
        <x:v>Regulatory Review</x:v>
      </x:c>
      <x:c r="I74" s="7" t="str">
        <x:v>P0</x:v>
      </x:c>
      <x:c r="J74" s="7" t="str">
        <x:v>S11</x:v>
      </x:c>
      <x:c r="K74" s="7" t="str">
        <x:v>Regulatory Lead</x:v>
      </x:c>
      <x:c r="L74" s="7" t="str">
        <x:v>DEV-008,DEV-040,DEV-041</x:v>
      </x:c>
      <x:c r="M74" s="7" t="str">
        <x:v>T-S11-005</x:v>
      </x:c>
      <x:c r="N74" s="7" t="str">
        <x:v>Not Started</x:v>
      </x:c>
      <x:c r="O74" s="7" t="str">
        <x:v>YES</x:v>
      </x:c>
      <x:c r="P74" s="7" t="n">
        <x:v>8</x:v>
      </x:c>
      <x:c r="Q74" s="7" t="str">
        <x:v>H</x:v>
      </x:c>
      <x:c r="R74" s="7" t="str"/>
    </x:row>
    <x:row r="75">
      <x:c r="A75" s="7" t="str">
        <x:v>DEV-074</x:v>
      </x:c>
      <x:c r="B75" s="7" t="str">
        <x:v>Task</x:v>
      </x:c>
      <x:c r="C75" s="7" t="str">
        <x:v>E20 Production Hardening</x:v>
      </x:c>
      <x:c r="D75" s="7" t="str">
        <x:v>UAT</x:v>
      </x:c>
      <x:c r="E75" s="7" t="str">
        <x:v>Pre-pilot role UAT</x:v>
      </x:c>
      <x:c r="F75" s="7" t="str">
        <x:v>Master/DPA/C/E/Crew olarak ana görevleri yardımsız tamamlamak istiyorum.</x:v>
      </x:c>
      <x:c r="G75" s="7" t="str">
        <x:v>Critical role journeys agreed threshold'u geçer; blocker UX issue kalmaz; design conformance reviewed.</x:v>
      </x:c>
      <x:c r="H75" s="7" t="str">
        <x:v>UAT</x:v>
      </x:c>
      <x:c r="I75" s="7" t="str">
        <x:v>P0</x:v>
      </x:c>
      <x:c r="J75" s="7" t="str">
        <x:v>S11</x:v>
      </x:c>
      <x:c r="K75" s="7" t="str">
        <x:v>QA/UX/Product</x:v>
      </x:c>
      <x:c r="L75" s="7" t="str">
        <x:v>DEV-023,DEV-043,DEV-050,DEV-056,DEV-059,DEV-060</x:v>
      </x:c>
      <x:c r="M75" s="7" t="str">
        <x:v>T-S11-006</x:v>
      </x:c>
      <x:c r="N75" s="7" t="str">
        <x:v>Not Started</x:v>
      </x:c>
      <x:c r="O75" s="7" t="str">
        <x:v>YES</x:v>
      </x:c>
      <x:c r="P75" s="7" t="n">
        <x:v>8</x:v>
      </x:c>
      <x:c r="Q75" s="7" t="str">
        <x:v>M</x:v>
      </x:c>
      <x:c r="R75" s="7" t="str"/>
    </x:row>
    <x:row r="76">
      <x:c r="A76" s="7" t="str">
        <x:v>DEV-075</x:v>
      </x:c>
      <x:c r="B76" s="7" t="str">
        <x:v>Task</x:v>
      </x:c>
      <x:c r="C76" s="7" t="str">
        <x:v>E20 Production Hardening</x:v>
      </x:c>
      <x:c r="D76" s="7" t="str">
        <x:v>Pilot Gate</x:v>
      </x:c>
      <x:c r="E76" s="7" t="str">
        <x:v>Pilot go/no-go review</x:v>
      </x:c>
      <x:c r="F76" s="7" t="str">
        <x:v>Steering group olarak kontrollü pilot başlangıç kararı vermek istiyorum.</x:v>
      </x:c>
      <x:c r="G76" s="7" t="str">
        <x:v>Security/regulatory/offline/DR/UAT/data/trace gates PASS; unresolved P0=0; pilot support/on-call ready.</x:v>
      </x:c>
      <x:c r="H76" s="7" t="str">
        <x:v>Pilot Gate</x:v>
      </x:c>
      <x:c r="I76" s="7" t="str">
        <x:v>P0</x:v>
      </x:c>
      <x:c r="J76" s="7" t="str">
        <x:v>S11</x:v>
      </x:c>
      <x:c r="K76" s="7" t="str">
        <x:v>Product Owner</x:v>
      </x:c>
      <x:c r="L76" s="7" t="str">
        <x:v>DEV-068:DEV-074</x:v>
      </x:c>
      <x:c r="M76" s="7" t="str">
        <x:v>T-S11-007</x:v>
      </x:c>
      <x:c r="N76" s="7" t="str">
        <x:v>Not Started</x:v>
      </x:c>
      <x:c r="O76" s="7" t="str">
        <x:v>YES</x:v>
      </x:c>
      <x:c r="P76" s="7" t="n">
        <x:v>3</x:v>
      </x:c>
      <x:c r="Q76" s="7" t="str">
        <x:v>L</x:v>
      </x:c>
      <x:c r="R76" s="7" t="str"/>
    </x:row>
    <x:row r="77">
      <x:c r="A77" s="7" t="str">
        <x:v>DEV-076</x:v>
      </x:c>
      <x:c r="B77" s="7" t="str">
        <x:v>Task</x:v>
      </x:c>
      <x:c r="C77" s="7" t="str">
        <x:v>E19 Fleet Intelligence</x:v>
      </x:c>
      <x:c r="D77" s="7" t="str">
        <x:v>Pilot Week 1</x:v>
      </x:c>
      <x:c r="E77" s="7" t="str">
        <x:v>Pilot Week 1 - Today, vessel, certificates, crew</x:v>
      </x:c>
      <x:c r="F77" s="7" t="str">
        <x:v>Pilot ekip olarak günlük kullanım ve ilk canlı exception/evidence trace'i doğrulamak istiyoruz.</x:v>
      </x:c>
      <x:c r="G77" s="7" t="str">
        <x:v>Daily feedback captured; first live trace demonstrated; onboarding/certificate/crew P0 issues triaged same day.</x:v>
      </x:c>
      <x:c r="H77" s="7" t="str">
        <x:v>Pilot</x:v>
      </x:c>
      <x:c r="I77" s="7" t="str">
        <x:v>P0</x:v>
      </x:c>
      <x:c r="J77" s="7" t="str">
        <x:v>PILOT-W1</x:v>
      </x:c>
      <x:c r="K77" s="7" t="str">
        <x:v>Product+Customer Success</x:v>
      </x:c>
      <x:c r="L77" s="7" t="str">
        <x:v>DEV-075</x:v>
      </x:c>
      <x:c r="M77" s="7" t="str">
        <x:v>T-P1</x:v>
      </x:c>
      <x:c r="N77" s="7" t="str">
        <x:v>Not Started</x:v>
      </x:c>
      <x:c r="O77" s="7" t="str">
        <x:v>YES</x:v>
      </x:c>
      <x:c r="P77" s="7" t="n">
        <x:v>5</x:v>
      </x:c>
      <x:c r="Q77" s="7" t="str">
        <x:v>M</x:v>
      </x:c>
      <x:c r="R77" s="7" t="str"/>
    </x:row>
    <x:row r="78">
      <x:c r="A78" s="7" t="str">
        <x:v>DEV-077</x:v>
      </x:c>
      <x:c r="B78" s="7" t="str">
        <x:v>Task</x:v>
      </x:c>
      <x:c r="C78" s="7" t="str">
        <x:v>E07 Technical Safety</x:v>
      </x:c>
      <x:c r="D78" s="7" t="str">
        <x:v>Pilot Week 2</x:v>
      </x:c>
      <x:c r="E78" s="7" t="str">
        <x:v>Pilot Week 2 - PMS, defects, departure, offline</x:v>
      </x:c>
      <x:c r="F78" s="7" t="str">
        <x:v>Pilot ekip olarak gemi teknik ve onboard akışlarını gerçek işte doğrulamak istiyoruz.</x:v>
      </x:c>
      <x:c r="G78" s="7" t="str">
        <x:v>At least one WO, one defect/safeguard, one departure review, one offline/reconnect flow completed with audit trace.</x:v>
      </x:c>
      <x:c r="H78" s="7" t="str">
        <x:v>Pilot</x:v>
      </x:c>
      <x:c r="I78" s="7" t="str">
        <x:v>P0</x:v>
      </x:c>
      <x:c r="J78" s="7" t="str">
        <x:v>PILOT-W2</x:v>
      </x:c>
      <x:c r="K78" s="7" t="str">
        <x:v>Product+Pilot Team</x:v>
      </x:c>
      <x:c r="L78" s="7" t="str">
        <x:v>DEV-076</x:v>
      </x:c>
      <x:c r="M78" s="7" t="str">
        <x:v>T-P2</x:v>
      </x:c>
      <x:c r="N78" s="7" t="str">
        <x:v>Not Started</x:v>
      </x:c>
      <x:c r="O78" s="7" t="str">
        <x:v>YES</x:v>
      </x:c>
      <x:c r="P78" s="7" t="n">
        <x:v>5</x:v>
      </x:c>
      <x:c r="Q78" s="7" t="str">
        <x:v>H</x:v>
      </x:c>
      <x:c r="R78" s="7" t="str"/>
    </x:row>
    <x:row r="79">
      <x:c r="A79" s="7" t="str">
        <x:v>DEV-078</x:v>
      </x:c>
      <x:c r="B79" s="7" t="str">
        <x:v>Task</x:v>
      </x:c>
      <x:c r="C79" s="7" t="str">
        <x:v>E10 Safety Events &amp; Learning</x:v>
      </x:c>
      <x:c r="D79" s="7" t="str">
        <x:v>Pilot Week 3</x:v>
      </x:c>
      <x:c r="E79" s="7" t="str">
        <x:v>Pilot Week 3 - safety event, evidence, AI assist</x:v>
      </x:c>
      <x:c r="F79" s="7" t="str">
        <x:v>Pilot ekip olarak olay/evidence ve AI assist'in güvenli kullanımını ölçmek istiyoruz.</x:v>
      </x:c>
      <x:c r="G79" s="7" t="str">
        <x:v>At least one event flow; audit pack retrieval; OCR/voice correction metrics; no AI authority bypass.</x:v>
      </x:c>
      <x:c r="H79" s="7" t="str">
        <x:v>Pilot</x:v>
      </x:c>
      <x:c r="I79" s="7" t="str">
        <x:v>P0</x:v>
      </x:c>
      <x:c r="J79" s="7" t="str">
        <x:v>PILOT-W3</x:v>
      </x:c>
      <x:c r="K79" s="7" t="str">
        <x:v>Product+Pilot Team</x:v>
      </x:c>
      <x:c r="L79" s="7" t="str">
        <x:v>DEV-077</x:v>
      </x:c>
      <x:c r="M79" s="7" t="str">
        <x:v>T-P3</x:v>
      </x:c>
      <x:c r="N79" s="7" t="str">
        <x:v>Not Started</x:v>
      </x:c>
      <x:c r="O79" s="7" t="str">
        <x:v>YES</x:v>
      </x:c>
      <x:c r="P79" s="7" t="n">
        <x:v>5</x:v>
      </x:c>
      <x:c r="Q79" s="7" t="str">
        <x:v>M</x:v>
      </x:c>
      <x:c r="R79" s="7" t="str"/>
    </x:row>
    <x:row r="80">
      <x:c r="A80" s="7" t="str">
        <x:v>DEV-079</x:v>
      </x:c>
      <x:c r="B80" s="7" t="str">
        <x:v>Task</x:v>
      </x:c>
      <x:c r="C80" s="7" t="str">
        <x:v>E17 Assurance &amp; Audit</x:v>
      </x:c>
      <x:c r="D80" s="7" t="str">
        <x:v>Pilot Week 4</x:v>
      </x:c>
      <x:c r="E80" s="7" t="str">
        <x:v>Pilot Week 4 - assurance/UAT/value readout</x:v>
      </x:c>
      <x:c r="F80" s="7" t="str">
        <x:v>Yönetim olarak pilotun devam/genişleme kararını kanıtla vermek istiyoruz.</x:v>
      </x:c>
      <x:c r="G80" s="7" t="str">
        <x:v>Before/after metrics; unresolved defects severity; UAT signoff; value report; go/no-go/expand decision recorded.</x:v>
      </x:c>
      <x:c r="H80" s="7" t="str">
        <x:v>Pilot</x:v>
      </x:c>
      <x:c r="I80" s="7" t="str">
        <x:v>P0</x:v>
      </x:c>
      <x:c r="J80" s="7" t="str">
        <x:v>PILOT-W4</x:v>
      </x:c>
      <x:c r="K80" s="7" t="str">
        <x:v>Product Owner</x:v>
      </x:c>
      <x:c r="L80" s="7" t="str">
        <x:v>DEV-078</x:v>
      </x:c>
      <x:c r="M80" s="7" t="str">
        <x:v>T-P4</x:v>
      </x:c>
      <x:c r="N80" s="7" t="str">
        <x:v>Not Started</x:v>
      </x:c>
      <x:c r="O80" s="7" t="str">
        <x:v>YES</x:v>
      </x:c>
      <x:c r="P80" s="7" t="n">
        <x:v>5</x:v>
      </x:c>
      <x:c r="Q80" s="7" t="str">
        <x:v>M</x:v>
      </x:c>
      <x:c r="R80" s="7" t="str"/>
    </x:row>
    <x:row r="81">
      <x:c r="A81" s="7" t="str">
        <x:v>DEV-080</x:v>
      </x:c>
      <x:c r="B81" s="7" t="str">
        <x:v>Story</x:v>
      </x:c>
      <x:c r="C81" s="7" t="str">
        <x:v>E21 Tug Operations</x:v>
      </x:c>
      <x:c r="D81" s="7" t="str">
        <x:v>Tug Context</x:v>
      </x:c>
      <x:c r="E81" s="7" t="str">
        <x:v>Römorkör mode context ve profile root</x:v>
      </x:c>
      <x:c r="F81" s="7" t="str">
        <x:v>Römorkör Operasyon Sorumlusu olarak römorkörün operasyonel profile/role contextini görmek istiyorum.</x:v>
      </x:c>
      <x:c r="G81" s="7" t="str">
        <x:v>Tug profile bollard pull/type/equipment context + role lens; Ship Mode screens remain hidden unless cross-mode role.</x:v>
      </x:c>
      <x:c r="H81" s="7" t="str">
        <x:v>tug-command / /api/v1/tug-command</x:v>
      </x:c>
      <x:c r="I81" s="7" t="str">
        <x:v>P0</x:v>
      </x:c>
      <x:c r="J81" s="7" t="str">
        <x:v>S5</x:v>
      </x:c>
      <x:c r="K81" s="7" t="str">
        <x:v>Full Stack</x:v>
      </x:c>
      <x:c r="L81" s="7" t="str">
        <x:v>DEV-020,DEV-022</x:v>
      </x:c>
      <x:c r="M81" s="7" t="str">
        <x:v>T-TUG-001</x:v>
      </x:c>
      <x:c r="N81" s="7" t="str">
        <x:v>Not Started</x:v>
      </x:c>
      <x:c r="O81" s="7" t="str">
        <x:v>YES</x:v>
      </x:c>
      <x:c r="P81" s="7" t="n">
        <x:v>8</x:v>
      </x:c>
      <x:c r="Q81" s="7" t="str">
        <x:v>M</x:v>
      </x:c>
      <x:c r="R81" s="7" t="str">
        <x:v>v46.2</x:v>
      </x:c>
    </x:row>
    <x:row r="82">
      <x:c r="A82" s="7" t="str">
        <x:v>DEV-081</x:v>
      </x:c>
      <x:c r="B82" s="7" t="str">
        <x:v>Story</x:v>
      </x:c>
      <x:c r="C82" s="7" t="str">
        <x:v>E21 Tug Operations</x:v>
      </x:c>
      <x:c r="D82" s="7" t="str">
        <x:v>Job Intake</x:v>
      </x:c>
      <x:c r="E82" s="7" t="str">
        <x:v>Römorkör iş talebi kaydı</x:v>
      </x:c>
      <x:c r="F82" s="7" t="str">
        <x:v>Operasyon sorumlusu olarak yeni römorkaj işini assisted vessel, zaman, alan, BP ve özel gereksinimle açmak istiyorum.</x:v>
      </x:c>
      <x:c r="G82" s="7" t="str">
        <x:v>Job ID; assisted vessel; job type; time window; area; required tug count/BP; priority; owner; audited create.</x:v>
      </x:c>
      <x:c r="H82" s="7" t="str">
        <x:v>tug-job-intake / /api/v1/tug-jobs</x:v>
      </x:c>
      <x:c r="I82" s="7" t="str">
        <x:v>P0</x:v>
      </x:c>
      <x:c r="J82" s="7" t="str">
        <x:v>S6</x:v>
      </x:c>
      <x:c r="K82" s="7" t="str">
        <x:v>Full Stack</x:v>
      </x:c>
      <x:c r="L82" s="7" t="str">
        <x:v>DEV-080</x:v>
      </x:c>
      <x:c r="M82" s="7" t="str">
        <x:v>T-TUG-002</x:v>
      </x:c>
      <x:c r="N82" s="7" t="str">
        <x:v>Not Started</x:v>
      </x:c>
      <x:c r="O82" s="7" t="str">
        <x:v>YES</x:v>
      </x:c>
      <x:c r="P82" s="7" t="n">
        <x:v>8</x:v>
      </x:c>
      <x:c r="Q82" s="7" t="str">
        <x:v>M</x:v>
      </x:c>
      <x:c r="R82" s="7" t="str">
        <x:v>v46.2</x:v>
      </x:c>
    </x:row>
    <x:row r="83">
      <x:c r="A83" s="7" t="str">
        <x:v>DEV-082</x:v>
      </x:c>
      <x:c r="B83" s="7" t="str">
        <x:v>Story</x:v>
      </x:c>
      <x:c r="C83" s="7" t="str">
        <x:v>E21 Tug Operations</x:v>
      </x:c>
      <x:c r="D83" s="7" t="str">
        <x:v>Job Board</x:v>
      </x:c>
      <x:c r="E83" s="7" t="str">
        <x:v>Kısa ve sık römorkör iş panosu</x:v>
      </x:c>
      <x:c r="F83" s="7" t="str">
        <x:v>Operasyon sorumlusu olarak gün içi işleri zaman ve readiness ile görmek istiyorum.</x:v>
      </x:c>
      <x:c r="G83" s="7" t="str">
        <x:v>Job board shows planned window, assigned tugs, BP, readiness, conflict, priority and next action.</x:v>
      </x:c>
      <x:c r="H83" s="7" t="str">
        <x:v>tug-job-board</x:v>
      </x:c>
      <x:c r="I83" s="7" t="str">
        <x:v>P0</x:v>
      </x:c>
      <x:c r="J83" s="7" t="str">
        <x:v>S6</x:v>
      </x:c>
      <x:c r="K83" s="7" t="str">
        <x:v>Frontend+Backend</x:v>
      </x:c>
      <x:c r="L83" s="7" t="str">
        <x:v>DEV-081</x:v>
      </x:c>
      <x:c r="M83" s="7" t="str">
        <x:v>T-TUG-003</x:v>
      </x:c>
      <x:c r="N83" s="7" t="str">
        <x:v>Not Started</x:v>
      </x:c>
      <x:c r="O83" s="7" t="str">
        <x:v>YES</x:v>
      </x:c>
      <x:c r="P83" s="7" t="n">
        <x:v>8</x:v>
      </x:c>
      <x:c r="Q83" s="7" t="str">
        <x:v>M</x:v>
      </x:c>
      <x:c r="R83" s="7" t="str">
        <x:v>v46.2</x:v>
      </x:c>
    </x:row>
    <x:row r="84">
      <x:c r="A84" s="7" t="str">
        <x:v>DEV-083</x:v>
      </x:c>
      <x:c r="B84" s="7" t="str">
        <x:v>Story</x:v>
      </x:c>
      <x:c r="C84" s="7" t="str">
        <x:v>E21 Tug Operations</x:v>
      </x:c>
      <x:c r="D84" s="7" t="str">
        <x:v>Assignment</x:v>
      </x:c>
      <x:c r="E84" s="7" t="str">
        <x:v>Römorkör atama ve çakışma kontrolü</x:v>
      </x:c>
      <x:c r="F84" s="7" t="str">
        <x:v>Operasyon sorumlusu olarak işi uygun römorköre atarken overlap, crew, equipment, PMS ve certificate durumunu görmek istiyorum.</x:v>
      </x:c>
      <x:c r="G84" s="7" t="str">
        <x:v>Assignment checks time overlap + crew/equipment/PMS/cert; shore proposes; Master/Tug Master acknowledgement preserved.</x:v>
      </x:c>
      <x:c r="H84" s="7" t="str">
        <x:v>tug-assignment / /api/v1/tug-assignments</x:v>
      </x:c>
      <x:c r="I84" s="7" t="str">
        <x:v>P0</x:v>
      </x:c>
      <x:c r="J84" s="7" t="str">
        <x:v>S7</x:v>
      </x:c>
      <x:c r="K84" s="7" t="str">
        <x:v>Full Stack</x:v>
      </x:c>
      <x:c r="L84" s="7" t="str">
        <x:v>DEV-050,DEV-055,DEV-082</x:v>
      </x:c>
      <x:c r="M84" s="7" t="str">
        <x:v>T-TUG-004</x:v>
      </x:c>
      <x:c r="N84" s="7" t="str">
        <x:v>Not Started</x:v>
      </x:c>
      <x:c r="O84" s="7" t="str">
        <x:v>YES</x:v>
      </x:c>
      <x:c r="P84" s="7" t="n">
        <x:v>13</x:v>
      </x:c>
      <x:c r="Q84" s="7" t="str">
        <x:v>H</x:v>
      </x:c>
      <x:c r="R84" s="7" t="str">
        <x:v>v46.2</x:v>
      </x:c>
    </x:row>
    <x:row r="85">
      <x:c r="A85" s="7" t="str">
        <x:v>DEV-084</x:v>
      </x:c>
      <x:c r="B85" s="7" t="str">
        <x:v>Story</x:v>
      </x:c>
      <x:c r="C85" s="7" t="str">
        <x:v>E21 Tug Operations</x:v>
      </x:c>
      <x:c r="D85" s="7" t="str">
        <x:v>Readiness</x:v>
      </x:c>
      <x:c r="E85" s="7" t="str">
        <x:v>Römorkör operasyon readiness gate</x:v>
      </x:c>
      <x:c r="F85" s="7" t="str">
        <x:v>Master/Tug Master olarak işe çıkmadan crew, equipment, PMS, certificate, comms, weather ve BP margin görmek istiyorum.</x:v>
      </x:c>
      <x:c r="G85" s="7" t="str">
        <x:v>READY/CONDITIONAL/NOT_READY/REVIEW_REQUIRED; critical blocker cannot be averaged; Master decision and reason retained.</x:v>
      </x:c>
      <x:c r="H85" s="7" t="str">
        <x:v>tug-readiness / /api/v1/tug-readiness</x:v>
      </x:c>
      <x:c r="I85" s="7" t="str">
        <x:v>P0</x:v>
      </x:c>
      <x:c r="J85" s="7" t="str">
        <x:v>S7</x:v>
      </x:c>
      <x:c r="K85" s="7" t="str">
        <x:v>Full Stack</x:v>
      </x:c>
      <x:c r="L85" s="7" t="str">
        <x:v>DEV-083</x:v>
      </x:c>
      <x:c r="M85" s="7" t="str">
        <x:v>T-TUG-005</x:v>
      </x:c>
      <x:c r="N85" s="7" t="str">
        <x:v>Not Started</x:v>
      </x:c>
      <x:c r="O85" s="7" t="str">
        <x:v>YES</x:v>
      </x:c>
      <x:c r="P85" s="7" t="n">
        <x:v>13</x:v>
      </x:c>
      <x:c r="Q85" s="7" t="str">
        <x:v>H</x:v>
      </x:c>
      <x:c r="R85" s="7" t="str">
        <x:v>v46.2</x:v>
      </x:c>
    </x:row>
    <x:row r="86">
      <x:c r="A86" s="7" t="str">
        <x:v>DEV-085</x:v>
      </x:c>
      <x:c r="B86" s="7" t="str">
        <x:v>Story</x:v>
      </x:c>
      <x:c r="C86" s="7" t="str">
        <x:v>E21 Tug Operations</x:v>
      </x:c>
      <x:c r="D86" s="7" t="str">
        <x:v>Equipment Readiness</x:v>
      </x:c>
      <x:c r="E86" s="7" t="str">
        <x:v>Tow equipment readiness</x:v>
      </x:c>
      <x:c r="F86" s="7" t="str">
        <x:v>Chief Engineer olarak winch, tow hook, towline, emergency release, FiFi ve critical defects durumunu görmek istiyorum.</x:v>
      </x:c>
      <x:c r="G86" s="7" t="str">
        <x:v>SWL/test/condition/PMS/certificate evidence; NOT_READY on critical failure; evidence/verification trace.</x:v>
      </x:c>
      <x:c r="H86" s="7" t="str">
        <x:v>tug-equipment-readiness</x:v>
      </x:c>
      <x:c r="I86" s="7" t="str">
        <x:v>P0</x:v>
      </x:c>
      <x:c r="J86" s="7" t="str">
        <x:v>S7</x:v>
      </x:c>
      <x:c r="K86" s="7" t="str">
        <x:v>Full Stack</x:v>
      </x:c>
      <x:c r="L86" s="7" t="str">
        <x:v>DEV-052,DEV-055</x:v>
      </x:c>
      <x:c r="M86" s="7" t="str">
        <x:v>T-TUG-006</x:v>
      </x:c>
      <x:c r="N86" s="7" t="str">
        <x:v>Not Started</x:v>
      </x:c>
      <x:c r="O86" s="7" t="str">
        <x:v>YES</x:v>
      </x:c>
      <x:c r="P86" s="7" t="n">
        <x:v>8</x:v>
      </x:c>
      <x:c r="Q86" s="7" t="str">
        <x:v>H</x:v>
      </x:c>
      <x:c r="R86" s="7" t="str">
        <x:v>v46.2</x:v>
      </x:c>
    </x:row>
    <x:row r="87">
      <x:c r="A87" s="7" t="str">
        <x:v>DEV-086</x:v>
      </x:c>
      <x:c r="B87" s="7" t="str">
        <x:v>Story</x:v>
      </x:c>
      <x:c r="C87" s="7" t="str">
        <x:v>E21 Tug Operations</x:v>
      </x:c>
      <x:c r="D87" s="7" t="str">
        <x:v>Crew Readiness</x:v>
      </x:c>
      <x:c r="E87" s="7" t="str">
        <x:v>Römorkör crew/towage competence readiness</x:v>
      </x:c>
      <x:c r="F87" s="7" t="str">
        <x:v>Master/Crewing olarak minimum manning, credential, towage competence, familiarization ve work/rest durumunu görmek istiyorum.</x:v>
      </x:c>
      <x:c r="G87" s="7" t="str">
        <x:v>Shared crew engine + tug-specific towage competence; positive readiness blocked by missing/unverified credential/competence.</x:v>
      </x:c>
      <x:c r="H87" s="7" t="str">
        <x:v>tug-crew-readiness</x:v>
      </x:c>
      <x:c r="I87" s="7" t="str">
        <x:v>P0</x:v>
      </x:c>
      <x:c r="J87" s="7" t="str">
        <x:v>S7</x:v>
      </x:c>
      <x:c r="K87" s="7" t="str">
        <x:v>Full Stack</x:v>
      </x:c>
      <x:c r="L87" s="7" t="str">
        <x:v>DEV-048,DEV-050</x:v>
      </x:c>
      <x:c r="M87" s="7" t="str">
        <x:v>T-TUG-007</x:v>
      </x:c>
      <x:c r="N87" s="7" t="str">
        <x:v>Not Started</x:v>
      </x:c>
      <x:c r="O87" s="7" t="str">
        <x:v>YES</x:v>
      </x:c>
      <x:c r="P87" s="7" t="n">
        <x:v>8</x:v>
      </x:c>
      <x:c r="Q87" s="7" t="str">
        <x:v>H</x:v>
      </x:c>
      <x:c r="R87" s="7" t="str">
        <x:v>v46.2</x:v>
      </x:c>
    </x:row>
    <x:row r="88">
      <x:c r="A88" s="7" t="str">
        <x:v>DEV-087</x:v>
      </x:c>
      <x:c r="B88" s="7" t="str">
        <x:v>Story</x:v>
      </x:c>
      <x:c r="C88" s="7" t="str">
        <x:v>E21 Tug Operations</x:v>
      </x:c>
      <x:c r="D88" s="7" t="str">
        <x:v>Towage Plan</x:v>
      </x:c>
      <x:c r="E88" s="7" t="str">
        <x:v>Römorkaj operasyon planı</x:v>
      </x:c>
      <x:c r="F88" s="7" t="str">
        <x:v>Master/Tug Master olarak çekme konfigürasyonu, towline, BP, limitler, communication ve contingency planını hazırlamak istiyorum.</x:v>
      </x:c>
      <x:c r="G88" s="7" t="str">
        <x:v>Plan has tug roles, configuration, limits, communication, emergency release, contingency, snap-back controls and approval state.</x:v>
      </x:c>
      <x:c r="H88" s="7" t="str">
        <x:v>towage-plan / /api/v1/towage-plans</x:v>
      </x:c>
      <x:c r="I88" s="7" t="str">
        <x:v>P0</x:v>
      </x:c>
      <x:c r="J88" s="7" t="str">
        <x:v>S8</x:v>
      </x:c>
      <x:c r="K88" s="7" t="str">
        <x:v>Full Stack</x:v>
      </x:c>
      <x:c r="L88" s="7" t="str">
        <x:v>DEV-084,DEV-085</x:v>
      </x:c>
      <x:c r="M88" s="7" t="str">
        <x:v>T-TUG-008</x:v>
      </x:c>
      <x:c r="N88" s="7" t="str">
        <x:v>Not Started</x:v>
      </x:c>
      <x:c r="O88" s="7" t="str">
        <x:v>YES</x:v>
      </x:c>
      <x:c r="P88" s="7" t="n">
        <x:v>13</x:v>
      </x:c>
      <x:c r="Q88" s="7" t="str">
        <x:v>H</x:v>
      </x:c>
      <x:c r="R88" s="7" t="str">
        <x:v>v46.2</x:v>
      </x:c>
    </x:row>
    <x:row r="89">
      <x:c r="A89" s="7" t="str">
        <x:v>DEV-088</x:v>
      </x:c>
      <x:c r="B89" s="7" t="str">
        <x:v>Story</x:v>
      </x:c>
      <x:c r="C89" s="7" t="str">
        <x:v>E21 Tug Operations</x:v>
      </x:c>
      <x:c r="D89" s="7" t="str">
        <x:v>Risk &amp; Briefing</x:v>
      </x:c>
      <x:c r="E89" s="7" t="str">
        <x:v>Römorkaj risk ve brifing</x:v>
      </x:c>
      <x:c r="F89" s="7" t="str">
        <x:v>Master/Tug Master olarak weather/current/visibility/hazards/barriers/stop-work koşullarını ekip ile teyit etmek istiyorum.</x:v>
      </x:c>
      <x:c r="G89" s="7" t="str">
        <x:v>Risk state + preventive/mitigating barriers + stop-work + emergency + participants acknowledgement; incomplete briefing blocks READY.</x:v>
      </x:c>
      <x:c r="H89" s="7" t="str">
        <x:v>towage-risk-briefing</x:v>
      </x:c>
      <x:c r="I89" s="7" t="str">
        <x:v>P0</x:v>
      </x:c>
      <x:c r="J89" s="7" t="str">
        <x:v>S8</x:v>
      </x:c>
      <x:c r="K89" s="7" t="str">
        <x:v>Full Stack</x:v>
      </x:c>
      <x:c r="L89" s="7" t="str">
        <x:v>DEV-087</x:v>
      </x:c>
      <x:c r="M89" s="7" t="str">
        <x:v>T-TUG-009</x:v>
      </x:c>
      <x:c r="N89" s="7" t="str">
        <x:v>Not Started</x:v>
      </x:c>
      <x:c r="O89" s="7" t="str">
        <x:v>YES</x:v>
      </x:c>
      <x:c r="P89" s="7" t="n">
        <x:v>8</x:v>
      </x:c>
      <x:c r="Q89" s="7" t="str">
        <x:v>H</x:v>
      </x:c>
      <x:c r="R89" s="7" t="str">
        <x:v>v46.2</x:v>
      </x:c>
    </x:row>
    <x:row r="90">
      <x:c r="A90" s="7" t="str">
        <x:v>DEV-089</x:v>
      </x:c>
      <x:c r="B90" s="7" t="str">
        <x:v>Story</x:v>
      </x:c>
      <x:c r="C90" s="7" t="str">
        <x:v>E21 Tug Operations</x:v>
      </x:c>
      <x:c r="D90" s="7" t="str">
        <x:v>Execution</x:v>
      </x:c>
      <x:c r="E90" s="7" t="str">
        <x:v>Römorkaj operasyon yürütme</x:v>
      </x:c>
      <x:c r="F90" s="7" t="str">
        <x:v>Master/Tug Master olarak start/suspend/resume/abort/complete ve operasyon kanıtını kaydetmek istiyorum.</x:v>
      </x:c>
      <x:c r="G90" s="7" t="str">
        <x:v>Timeline, towline times, max load, comms, weather, events, Master decision, evidence, verification; shore/AI cannot start/abort operation.</x:v>
      </x:c>
      <x:c r="H90" s="7" t="str">
        <x:v>towage-execution / /api/v1/towage-executions</x:v>
      </x:c>
      <x:c r="I90" s="7" t="str">
        <x:v>P0</x:v>
      </x:c>
      <x:c r="J90" s="7" t="str">
        <x:v>S9</x:v>
      </x:c>
      <x:c r="K90" s="7" t="str">
        <x:v>Full Stack</x:v>
      </x:c>
      <x:c r="L90" s="7" t="str">
        <x:v>DEV-088,DEV-031</x:v>
      </x:c>
      <x:c r="M90" s="7" t="str">
        <x:v>T-TUG-010</x:v>
      </x:c>
      <x:c r="N90" s="7" t="str">
        <x:v>Not Started</x:v>
      </x:c>
      <x:c r="O90" s="7" t="str">
        <x:v>YES</x:v>
      </x:c>
      <x:c r="P90" s="7" t="n">
        <x:v>13</x:v>
      </x:c>
      <x:c r="Q90" s="7" t="str">
        <x:v>H</x:v>
      </x:c>
      <x:c r="R90" s="7" t="str">
        <x:v>v46.2</x:v>
      </x:c>
    </x:row>
    <x:row r="91">
      <x:c r="A91" s="7" t="str">
        <x:v>DEV-090</x:v>
      </x:c>
      <x:c r="B91" s="7" t="str">
        <x:v>Story</x:v>
      </x:c>
      <x:c r="C91" s="7" t="str">
        <x:v>E21 Tug Operations</x:v>
      </x:c>
      <x:c r="D91" s="7" t="str">
        <x:v>Daily Log</x:v>
      </x:c>
      <x:c r="E91" s="7" t="str">
        <x:v>Römorkör günlük defteri</x:v>
      </x:c>
      <x:c r="F91" s="7" t="str">
        <x:v>Master olarak vardiya/gün sonunda iş, runtime, fuel, defect, safety event ve özet kaydı yapmak istiyorum.</x:v>
      </x:c>
      <x:c r="G91" s="7" t="str">
        <x:v>Daily log works offline; job links and meter values reconcile; Master review + sync state visible.</x:v>
      </x:c>
      <x:c r="H91" s="7" t="str">
        <x:v>tug-daily-log</x:v>
      </x:c>
      <x:c r="I91" s="7" t="str">
        <x:v>P1</x:v>
      </x:c>
      <x:c r="J91" s="7" t="str">
        <x:v>S9</x:v>
      </x:c>
      <x:c r="K91" s="7" t="str">
        <x:v>Full Stack</x:v>
      </x:c>
      <x:c r="L91" s="7" t="str">
        <x:v>DEV-033,DEV-089</x:v>
      </x:c>
      <x:c r="M91" s="7" t="str">
        <x:v>T-TUG-011</x:v>
      </x:c>
      <x:c r="N91" s="7" t="str">
        <x:v>Not Started</x:v>
      </x:c>
      <x:c r="O91" s="7" t="str">
        <x:v>YES</x:v>
      </x:c>
      <x:c r="P91" s="7" t="n">
        <x:v>8</x:v>
      </x:c>
      <x:c r="Q91" s="7" t="str">
        <x:v>M</x:v>
      </x:c>
      <x:c r="R91" s="7" t="str">
        <x:v>v46.2</x:v>
      </x:c>
    </x:row>
    <x:row r="92">
      <x:c r="A92" s="7" t="str">
        <x:v>DEV-091</x:v>
      </x:c>
      <x:c r="B92" s="7" t="str">
        <x:v>Story</x:v>
      </x:c>
      <x:c r="C92" s="7" t="str">
        <x:v>E21 Tug Operations</x:v>
      </x:c>
      <x:c r="D92" s="7" t="str">
        <x:v>History</x:v>
      </x:c>
      <x:c r="E92" s="7" t="str">
        <x:v>Römorkör operasyon geçmişi</x:v>
      </x:c>
      <x:c r="F92" s="7" t="str">
        <x:v>Operasyon/DPA olarak geçmiş işi gemi, tip, süre, Master, sonuç ve evidence durumuyla aramak istiyorum.</x:v>
      </x:c>
      <x:c r="G92" s="7" t="str">
        <x:v>History filterable by tug/job/vessel/date/outcome; no silent deletion; trace to evidence/event.</x:v>
      </x:c>
      <x:c r="H92" s="7" t="str">
        <x:v>tug-operation-history</x:v>
      </x:c>
      <x:c r="I92" s="7" t="str">
        <x:v>P1</x:v>
      </x:c>
      <x:c r="J92" s="7" t="str">
        <x:v>S10</x:v>
      </x:c>
      <x:c r="K92" s="7" t="str">
        <x:v>Full Stack</x:v>
      </x:c>
      <x:c r="L92" s="7" t="str">
        <x:v>DEV-089</x:v>
      </x:c>
      <x:c r="M92" s="7" t="str">
        <x:v>T-TUG-012</x:v>
      </x:c>
      <x:c r="N92" s="7" t="str">
        <x:v>Not Started</x:v>
      </x:c>
      <x:c r="O92" s="7" t="str">
        <x:v>YES</x:v>
      </x:c>
      <x:c r="P92" s="7" t="n">
        <x:v>5</x:v>
      </x:c>
      <x:c r="Q92" s="7" t="str">
        <x:v>M</x:v>
      </x:c>
      <x:c r="R92" s="7" t="str">
        <x:v>v46.2</x:v>
      </x:c>
    </x:row>
    <x:row r="93">
      <x:c r="A93" s="7" t="str">
        <x:v>DEV-092</x:v>
      </x:c>
      <x:c r="B93" s="7" t="str">
        <x:v>Story</x:v>
      </x:c>
      <x:c r="C93" s="7" t="str">
        <x:v>E21 Tug Operations</x:v>
      </x:c>
      <x:c r="D93" s="7" t="str">
        <x:v>Offline</x:v>
      </x:c>
      <x:c r="E93" s="7" t="str">
        <x:v>Römorkör job/briefing/execution offline akışı</x:v>
      </x:c>
      <x:c r="F93" s="7" t="str">
        <x:v>Tugboard kullanıcı olarak bağlantı yokken kritik kayıtları kaybetmeden çalışmak istiyorum.</x:v>
      </x:c>
      <x:c r="G93" s="7" t="str">
        <x:v>Job snapshot prefetched; briefing/execution/log durable queue; reconnect idempotent; material conflicts explicit.</x:v>
      </x:c>
      <x:c r="H93" s="7" t="str">
        <x:v>mobile-task-center / Tug Ops</x:v>
      </x:c>
      <x:c r="I93" s="7" t="str">
        <x:v>P0</x:v>
      </x:c>
      <x:c r="J93" s="7" t="str">
        <x:v>S10</x:v>
      </x:c>
      <x:c r="K93" s="7" t="str">
        <x:v>Full Stack</x:v>
      </x:c>
      <x:c r="L93" s="7" t="str">
        <x:v>DEV-033,DEV-034,DEV-035,DEV-089</x:v>
      </x:c>
      <x:c r="M93" s="7" t="str">
        <x:v>T-TUG-013</x:v>
      </x:c>
      <x:c r="N93" s="7" t="str">
        <x:v>Not Started</x:v>
      </x:c>
      <x:c r="O93" s="7" t="str">
        <x:v>YES</x:v>
      </x:c>
      <x:c r="P93" s="7" t="n">
        <x:v>13</x:v>
      </x:c>
      <x:c r="Q93" s="7" t="str">
        <x:v>H</x:v>
      </x:c>
      <x:c r="R93" s="7" t="str">
        <x:v>v46.2</x:v>
      </x:c>
    </x:row>
    <x:row r="94">
      <x:c r="A94" s="7" t="str">
        <x:v>DEV-093</x:v>
      </x:c>
      <x:c r="B94" s="7" t="str">
        <x:v>Task</x:v>
      </x:c>
      <x:c r="C94" s="7" t="str">
        <x:v>E21 Tug Operations</x:v>
      </x:c>
      <x:c r="D94" s="7" t="str">
        <x:v>Regulatory</x:v>
      </x:c>
      <x:c r="E94" s="7" t="str">
        <x:v>Tug regulatory source/applicability review</x:v>
      </x:c>
      <x:c r="F94" s="7" t="str">
        <x:v>Regulatory owner olarak tug operasyon limitlerinin kontrollü kaynağını doğrulamak istiyorum.</x:v>
      </x:c>
      <x:c r="G94" s="7" t="str">
        <x:v>Flag/class/company/local source ownership assigned; unknown rules remain REVIEW_REQUIRED; no unsupported legal claim.</x:v>
      </x:c>
      <x:c r="H94" s="7" t="str">
        <x:v>Regulatory Trace</x:v>
      </x:c>
      <x:c r="I94" s="7" t="str">
        <x:v>P0</x:v>
      </x:c>
      <x:c r="J94" s="7" t="str">
        <x:v>S11</x:v>
      </x:c>
      <x:c r="K94" s="7" t="str">
        <x:v>Regulatory Lead</x:v>
      </x:c>
      <x:c r="L94" s="7" t="str">
        <x:v>DEV-008,DEV-084,DEV-087</x:v>
      </x:c>
      <x:c r="M94" s="7" t="str">
        <x:v>T-TUG-014</x:v>
      </x:c>
      <x:c r="N94" s="7" t="str">
        <x:v>Not Started</x:v>
      </x:c>
      <x:c r="O94" s="7" t="str">
        <x:v>YES</x:v>
      </x:c>
      <x:c r="P94" s="7" t="n">
        <x:v>8</x:v>
      </x:c>
      <x:c r="Q94" s="7" t="str">
        <x:v>H</x:v>
      </x:c>
      <x:c r="R94" s="7" t="str">
        <x:v>v46.2</x:v>
      </x:c>
    </x:row>
    <x:row r="95">
      <x:c r="A95" s="7" t="str">
        <x:v>DEV-094</x:v>
      </x:c>
      <x:c r="B95" s="7" t="str">
        <x:v>Task</x:v>
      </x:c>
      <x:c r="C95" s="7" t="str">
        <x:v>E21 Tug Operations</x:v>
      </x:c>
      <x:c r="D95" s="7" t="str">
        <x:v>UAT</x:v>
      </x:c>
      <x:c r="E95" s="7" t="str">
        <x:v>Tug role UAT</x:v>
      </x:c>
      <x:c r="F95" s="7" t="str">
        <x:v>Tug Master ve operasyon sorumlusu olarak işi talepten kapanışa yardımsız tamamlamak istiyorum.</x:v>
      </x:c>
      <x:c r="G95" s="7" t="str">
        <x:v>Intake→assignment→readiness→plan→briefing→execution→log journey meets agreed task success; blocker UX issue=0.</x:v>
      </x:c>
      <x:c r="H95" s="7" t="str">
        <x:v>UAT Tug Mode</x:v>
      </x:c>
      <x:c r="I95" s="7" t="str">
        <x:v>P0</x:v>
      </x:c>
      <x:c r="J95" s="7" t="str">
        <x:v>S11</x:v>
      </x:c>
      <x:c r="K95" s="7" t="str">
        <x:v>QA/UX/Product</x:v>
      </x:c>
      <x:c r="L95" s="7" t="str">
        <x:v>DEV-081:DEV-092</x:v>
      </x:c>
      <x:c r="M95" s="7" t="str">
        <x:v>T-TUG-015</x:v>
      </x:c>
      <x:c r="N95" s="7" t="str">
        <x:v>Not Started</x:v>
      </x:c>
      <x:c r="O95" s="7" t="str">
        <x:v>YES</x:v>
      </x:c>
      <x:c r="P95" s="7" t="n">
        <x:v>8</x:v>
      </x:c>
      <x:c r="Q95" s="7" t="str">
        <x:v>M</x:v>
      </x:c>
      <x:c r="R95" s="7" t="str">
        <x:v>v46.2</x:v>
      </x:c>
    </x:row>
    <x:row r="96">
      <x:c r="A96" s="7" t="str">
        <x:v>DEV-095</x:v>
      </x:c>
      <x:c r="B96" s="7" t="str">
        <x:v>Task</x:v>
      </x:c>
      <x:c r="C96" s="7" t="str">
        <x:v>E21 Tug Operations</x:v>
      </x:c>
      <x:c r="D96" s="7" t="str">
        <x:v>Pilot</x:v>
      </x:c>
      <x:c r="E96" s="7" t="str">
        <x:v>Dual-mode pilot proof</x:v>
      </x:c>
      <x:c r="F96" s="7" t="str">
        <x:v>PO olarak bir gemi ve bir römorkörde core ortak altyapı ile iki modun çalıştığını kanıtlamak istiyorum.</x:v>
      </x:c>
      <x:c r="G96" s="7" t="str">
        <x:v>1 ship departure/safety flow + 1 tug job/towage flow; shared crew/PMS/evidence/audit/offline demonstrated; metrics captured.</x:v>
      </x:c>
      <x:c r="H96" s="7" t="str">
        <x:v>Pilot</x:v>
      </x:c>
      <x:c r="I96" s="7" t="str">
        <x:v>P0</x:v>
      </x:c>
      <x:c r="J96" s="7" t="str">
        <x:v>PILOT-W2</x:v>
      </x:c>
      <x:c r="K96" s="7" t="str">
        <x:v>Product+Pilot Team</x:v>
      </x:c>
      <x:c r="L96" s="7" t="str">
        <x:v>DEV-075,DEV-094</x:v>
      </x:c>
      <x:c r="M96" s="7" t="str">
        <x:v>T-TUG-016</x:v>
      </x:c>
      <x:c r="N96" s="7" t="str">
        <x:v>Not Started</x:v>
      </x:c>
      <x:c r="O96" s="7" t="str">
        <x:v>YES</x:v>
      </x:c>
      <x:c r="P96" s="7" t="n">
        <x:v>5</x:v>
      </x:c>
      <x:c r="Q96" s="7" t="str">
        <x:v>H</x:v>
      </x:c>
      <x:c r="R96" s="7" t="str">
        <x:v>v46.2</x:v>
      </x:c>
    </x:row>
    <x:row r="97">
      <x:c r="A97" s="7" t="str">
        <x:v>DEV-096</x:v>
      </x:c>
      <x:c r="B97" s="7" t="str">
        <x:v>Task</x:v>
      </x:c>
      <x:c r="C97" s="7" t="str">
        <x:v>E21 Tug Operations</x:v>
      </x:c>
      <x:c r="D97" s="7" t="str">
        <x:v>Value</x:v>
      </x:c>
      <x:c r="E97" s="7" t="str">
        <x:v>Tug value readout</x:v>
      </x:c>
      <x:c r="F97" s="7" t="str">
        <x:v>Yönetim olarak tug mode değerini operasyon süresi, kayıt kalitesi ve readiness görünürlüğü ile görmek istiyorum.</x:v>
      </x:c>
      <x:c r="G97" s="7" t="str">
        <x:v>Before/after: job prep time, assignment conflict visibility, evidence completeness, offline success, user adoption; expand/fix decision.</x:v>
      </x:c>
      <x:c r="H97" s="7" t="str">
        <x:v>Pilot Value</x:v>
      </x:c>
      <x:c r="I97" s="7" t="str">
        <x:v>P0</x:v>
      </x:c>
      <x:c r="J97" s="7" t="str">
        <x:v>PILOT-W4</x:v>
      </x:c>
      <x:c r="K97" s="7" t="str">
        <x:v>Product Owner</x:v>
      </x:c>
      <x:c r="L97" s="7" t="str">
        <x:v>DEV-095</x:v>
      </x:c>
      <x:c r="M97" s="7" t="str">
        <x:v>T-TUG-017</x:v>
      </x:c>
      <x:c r="N97" s="7" t="str">
        <x:v>Not Started</x:v>
      </x:c>
      <x:c r="O97" s="7" t="str">
        <x:v>YES</x:v>
      </x:c>
      <x:c r="P97" s="7" t="n">
        <x:v>5</x:v>
      </x:c>
      <x:c r="Q97" s="7" t="str">
        <x:v>M</x:v>
      </x:c>
      <x:c r="R97" s="7" t="str">
        <x:v>v46.2</x:v>
      </x:c>
    </x:row>
    <x:row r="98">
      <x:c r="A98" s="7" t="str">
        <x:v>DEV-097</x:v>
      </x:c>
      <x:c r="B98" s="7" t="str">
        <x:v>Story</x:v>
      </x:c>
      <x:c r="C98" s="7" t="str">
        <x:v>E22 Ship Operations 2.0</x:v>
      </x:c>
      <x:c r="D98" s="7" t="str">
        <x:v>Noon Report</x:v>
      </x:c>
      <x:c r="E98" s="7" t="str">
        <x:v>Noon Report'u tek girişli günlük operasyon merkezi olarak geliştir</x:v>
      </x:c>
      <x:c r="F98" s="7" t="str">
        <x:v>Master/Chief Officer olarak günlük konum, voyage, speed, weather, fuel ve ROB verisini tek kontrollü raporda girmek istiyorum.</x:v>
      </x:c>
      <x:c r="G98" s="7" t="str">
        <x:v>Position/voyage/activity/speed/weather/fuel/ROB/master review; data downstream voyage, emissions and dashboards tarafından tekrar kullanılabilir; offline save supported.</x:v>
      </x:c>
      <x:c r="H98" s="7" t="str">
        <x:v>noon-report / /api/v1/noon-reports</x:v>
      </x:c>
      <x:c r="I98" s="7" t="str">
        <x:v>P0</x:v>
      </x:c>
      <x:c r="J98" s="7" t="str">
        <x:v>S5</x:v>
      </x:c>
      <x:c r="K98" s="7" t="str">
        <x:v>Full Stack</x:v>
      </x:c>
      <x:c r="L98" s="7" t="str">
        <x:v>DEV-021,DEV-033</x:v>
      </x:c>
      <x:c r="M98" s="7" t="str">
        <x:v>T-OPS2-001</x:v>
      </x:c>
      <x:c r="N98" s="7" t="str">
        <x:v>Not Started</x:v>
      </x:c>
      <x:c r="O98" s="7" t="str">
        <x:v>YES</x:v>
      </x:c>
      <x:c r="P98" s="7" t="n">
        <x:v>13</x:v>
      </x:c>
      <x:c r="Q98" s="7" t="str">
        <x:v>H</x:v>
      </x:c>
      <x:c r="R98" s="7" t="str">
        <x:v>v46.3 NOZZLE benchmark</x:v>
      </x:c>
    </x:row>
    <x:row r="99">
      <x:c r="A99" s="7" t="str">
        <x:v>DEV-098</x:v>
      </x:c>
      <x:c r="B99" s="7" t="str">
        <x:v>Story</x:v>
      </x:c>
      <x:c r="C99" s="7" t="str">
        <x:v>E22 Ship Operations 2.0</x:v>
      </x:c>
      <x:c r="D99" s="7" t="str">
        <x:v>Deck Daily Log</x:v>
      </x:c>
      <x:c r="E99" s="7" t="str">
        <x:v>Güverte günlük kayıt defterini dijitalleştir</x:v>
      </x:c>
      <x:c r="F99" s="7" t="str">
        <x:v>OOW olarak vardiya/pozisyon/nav status/port-cargo activity/handover kayıtlarını tek akışta tutmak istiyorum.</x:v>
      </x:c>
      <x:c r="G99" s="7" t="str">
        <x:v>Watch-period log, navigation status, port/cargo activity, pilot/tug activity, ballast, safety note, handover, officer/master review; audit/offline.</x:v>
      </x:c>
      <x:c r="H99" s="7" t="str">
        <x:v>deck-daily-log</x:v>
      </x:c>
      <x:c r="I99" s="7" t="str">
        <x:v>P0</x:v>
      </x:c>
      <x:c r="J99" s="7" t="str">
        <x:v>S5</x:v>
      </x:c>
      <x:c r="K99" s="7" t="str">
        <x:v>Full Stack</x:v>
      </x:c>
      <x:c r="L99" s="7" t="str">
        <x:v>DEV-097</x:v>
      </x:c>
      <x:c r="M99" s="7" t="str">
        <x:v>T-OPS2-002</x:v>
      </x:c>
      <x:c r="N99" s="7" t="str">
        <x:v>Not Started</x:v>
      </x:c>
      <x:c r="O99" s="7" t="str">
        <x:v>YES</x:v>
      </x:c>
      <x:c r="P99" s="7" t="n">
        <x:v>8</x:v>
      </x:c>
      <x:c r="Q99" s="7" t="str">
        <x:v>M</x:v>
      </x:c>
      <x:c r="R99" s="7" t="str">
        <x:v>v46.3</x:v>
      </x:c>
    </x:row>
    <x:row r="100">
      <x:c r="A100" s="7" t="str">
        <x:v>DEV-099</x:v>
      </x:c>
      <x:c r="B100" s="7" t="str">
        <x:v>Story</x:v>
      </x:c>
      <x:c r="C100" s="7" t="str">
        <x:v>E22 Ship Operations 2.0</x:v>
      </x:c>
      <x:c r="D100" s="7" t="str">
        <x:v>Engine Daily Log</x:v>
      </x:c>
      <x:c r="E100" s="7" t="str">
        <x:v>Makine günlük kayıt defterini dijitalleştir</x:v>
      </x:c>
      <x:c r="F100" s="7" t="str">
        <x:v>Watch engineer olarak engine status/hours/fuel/measurements/alarms/defects/handover kaydetmek istiyorum.</x:v>
      </x:c>
      <x:c r="G100" s="7" t="str">
        <x:v>Engine/aux hours, fuel/lube, measurements, alarms, defects, WO link, environmental check, C/E review; offline/audit.</x:v>
      </x:c>
      <x:c r="H100" s="7" t="str">
        <x:v>engine-daily-log</x:v>
      </x:c>
      <x:c r="I100" s="7" t="str">
        <x:v>P0</x:v>
      </x:c>
      <x:c r="J100" s="7" t="str">
        <x:v>S5</x:v>
      </x:c>
      <x:c r="K100" s="7" t="str">
        <x:v>Full Stack</x:v>
      </x:c>
      <x:c r="L100" s="7" t="str">
        <x:v>DEV-052,DEV-097</x:v>
      </x:c>
      <x:c r="M100" s="7" t="str">
        <x:v>T-OPS2-003</x:v>
      </x:c>
      <x:c r="N100" s="7" t="str">
        <x:v>Not Started</x:v>
      </x:c>
      <x:c r="O100" s="7" t="str">
        <x:v>YES</x:v>
      </x:c>
      <x:c r="P100" s="7" t="n">
        <x:v>8</x:v>
      </x:c>
      <x:c r="Q100" s="7" t="str">
        <x:v>M</x:v>
      </x:c>
      <x:c r="R100" s="7" t="str">
        <x:v>v46.3</x:v>
      </x:c>
    </x:row>
    <x:row r="101">
      <x:c r="A101" s="7" t="str">
        <x:v>DEV-100</x:v>
      </x:c>
      <x:c r="B101" s="7" t="str">
        <x:v>Story</x:v>
      </x:c>
      <x:c r="C101" s="7" t="str">
        <x:v>E22 Ship Operations 2.0</x:v>
      </x:c>
      <x:c r="D101" s="7" t="str">
        <x:v>Fuel/Bunker/ROB</x:v>
      </x:c>
      <x:c r="E101" s="7" t="str">
        <x:v>Fuel, Bunker, BDN ve ROB kayıtlarını birleştir</x:v>
      </x:c>
      <x:c r="F101" s="7" t="str">
        <x:v>Master/Chief Engineer olarak fuel consumption, delivery, tank ROB ve BDN kanıtını tek modelde yönetmek istiyorum.</x:v>
      </x:c>
      <x:c r="G101" s="7" t="str">
        <x:v>Consumption/delivery/transfer/ROB; fuel type; supplier/BDN; quantity; sulphur/viscosity; discrepancy; compliance/verification/evidence; applicability-aware.</x:v>
      </x:c>
      <x:c r="H101" s="7" t="str">
        <x:v>fuel-bunker-log / /api/v1/fuel-bunker-logs</x:v>
      </x:c>
      <x:c r="I101" s="7" t="str">
        <x:v>P0</x:v>
      </x:c>
      <x:c r="J101" s="7" t="str">
        <x:v>S6</x:v>
      </x:c>
      <x:c r="K101" s="7" t="str">
        <x:v>Full Stack</x:v>
      </x:c>
      <x:c r="L101" s="7" t="str">
        <x:v>DEV-097,DEV-099,DEV-030</x:v>
      </x:c>
      <x:c r="M101" s="7" t="str">
        <x:v>T-OPS2-004</x:v>
      </x:c>
      <x:c r="N101" s="7" t="str">
        <x:v>Not Started</x:v>
      </x:c>
      <x:c r="O101" s="7" t="str">
        <x:v>YES</x:v>
      </x:c>
      <x:c r="P101" s="7" t="n">
        <x:v>13</x:v>
      </x:c>
      <x:c r="Q101" s="7" t="str">
        <x:v>H</x:v>
      </x:c>
      <x:c r="R101" s="7" t="str">
        <x:v>v46.3</x:v>
      </x:c>
    </x:row>
    <x:row r="102">
      <x:c r="A102" s="7" t="str">
        <x:v>DEV-101</x:v>
      </x:c>
      <x:c r="B102" s="7" t="str">
        <x:v>Story</x:v>
      </x:c>
      <x:c r="C102" s="7" t="str">
        <x:v>E22 Ship Operations 2.0</x:v>
      </x:c>
      <x:c r="D102" s="7" t="str">
        <x:v>Port Activity / SOF</x:v>
      </x:c>
      <x:c r="E102" s="7" t="str">
        <x:v>Port Activity &amp; Statement of Facts kaydı</x:v>
      </x:c>
      <x:c r="F102" s="7" t="str">
        <x:v>Chief Officer/Master olarak arrival-pilot-tug-berthing-cargo-departure olaylarını timestamp ve eklerle kaydetmek istiyorum.</x:v>
      </x:c>
      <x:c r="G102" s="7" t="str">
        <x:v>Structured event timeline; cargo/draught/tug/pilot/delay; Letter of Protest/evidence; voyage link; finalization; not Port OS.</x:v>
      </x:c>
      <x:c r="H102" s="7" t="str">
        <x:v>port-activity-sof / /api/v1/port-activity-sof</x:v>
      </x:c>
      <x:c r="I102" s="7" t="str">
        <x:v>P1</x:v>
      </x:c>
      <x:c r="J102" s="7" t="str">
        <x:v>S6</x:v>
      </x:c>
      <x:c r="K102" s="7" t="str">
        <x:v>Full Stack</x:v>
      </x:c>
      <x:c r="L102" s="7" t="str">
        <x:v>DEV-097</x:v>
      </x:c>
      <x:c r="M102" s="7" t="str">
        <x:v>T-OPS2-005</x:v>
      </x:c>
      <x:c r="N102" s="7" t="str">
        <x:v>Not Started</x:v>
      </x:c>
      <x:c r="O102" s="7" t="str">
        <x:v>YES</x:v>
      </x:c>
      <x:c r="P102" s="7" t="n">
        <x:v>8</x:v>
      </x:c>
      <x:c r="Q102" s="7" t="str">
        <x:v>M</x:v>
      </x:c>
      <x:c r="R102" s="7" t="str">
        <x:v>v46.3</x:v>
      </x:c>
    </x:row>
    <x:row r="103">
      <x:c r="A103" s="7" t="str">
        <x:v>DEV-102</x:v>
      </x:c>
      <x:c r="B103" s="7" t="str">
        <x:v>Story</x:v>
      </x:c>
      <x:c r="C103" s="7" t="str">
        <x:v>E22 Ship Operations 2.0</x:v>
      </x:c>
      <x:c r="D103" s="7" t="str">
        <x:v>Downtime</x:v>
      </x:c>
      <x:c r="E103" s="7" t="str">
        <x:v>Operational Downtime / Loss of Hire kaydı</x:v>
      </x:c>
      <x:c r="F103" s="7" t="str">
        <x:v>Fleet/Technical olarak duruşu neden, süre, defect/WO/event ve operasyonel etkiyle izlemek istiyorum.</x:v>
      </x:c>
      <x:c r="G103" s="7" t="str">
        <x:v>Start/end/duration/cause; defect/WO/event links; operational impact; Loss of Hire candidate; claim evidence; verified closure.</x:v>
      </x:c>
      <x:c r="H103" s="7" t="str">
        <x:v>operational-downtime</x:v>
      </x:c>
      <x:c r="I103" s="7" t="str">
        <x:v>P1</x:v>
      </x:c>
      <x:c r="J103" s="7" t="str">
        <x:v>S6</x:v>
      </x:c>
      <x:c r="K103" s="7" t="str">
        <x:v>Full Stack</x:v>
      </x:c>
      <x:c r="L103" s="7" t="str">
        <x:v>DEV-055,DEV-099</x:v>
      </x:c>
      <x:c r="M103" s="7" t="str">
        <x:v>T-OPS2-006</x:v>
      </x:c>
      <x:c r="N103" s="7" t="str">
        <x:v>Not Started</x:v>
      </x:c>
      <x:c r="O103" s="7" t="str">
        <x:v>YES</x:v>
      </x:c>
      <x:c r="P103" s="7" t="n">
        <x:v>8</x:v>
      </x:c>
      <x:c r="Q103" s="7" t="str">
        <x:v>M</x:v>
      </x:c>
      <x:c r="R103" s="7" t="str">
        <x:v>v46.3</x:v>
      </x:c>
    </x:row>
    <x:row r="104">
      <x:c r="A104" s="7" t="str">
        <x:v>DEV-103</x:v>
      </x:c>
      <x:c r="B104" s="7" t="str">
        <x:v>Story</x:v>
      </x:c>
      <x:c r="C104" s="7" t="str">
        <x:v>E10 Technical/PMS</x:v>
      </x:c>
      <x:c r="D104" s="7" t="str">
        <x:v>Service Reports</x:v>
      </x:c>
      <x:c r="E104" s="7" t="str">
        <x:v>Service &amp; Engineer Report'u WO/equipment ile bağla</x:v>
      </x:c>
      <x:c r="F104" s="7" t="str">
        <x:v>Chief Engineer olarak servis/onarım raporunu iş emri ve ekipman tarihçesine bağlamak istiyorum.</x:v>
      </x:c>
      <x:c r="G104" s="7" t="str">
        <x:v>Provider/engineer/date/scope/work/parts/tests/defects/recommendations/evidence; verifier; immutable history.</x:v>
      </x:c>
      <x:c r="H104" s="7" t="str">
        <x:v>service-engineer-report</x:v>
      </x:c>
      <x:c r="I104" s="7" t="str">
        <x:v>P1</x:v>
      </x:c>
      <x:c r="J104" s="7" t="str">
        <x:v>S8</x:v>
      </x:c>
      <x:c r="K104" s="7" t="str">
        <x:v>Full Stack</x:v>
      </x:c>
      <x:c r="L104" s="7" t="str">
        <x:v>DEV-055</x:v>
      </x:c>
      <x:c r="M104" s="7" t="str">
        <x:v>T-PMS2-001</x:v>
      </x:c>
      <x:c r="N104" s="7" t="str">
        <x:v>Not Started</x:v>
      </x:c>
      <x:c r="O104" s="7" t="str">
        <x:v>YES</x:v>
      </x:c>
      <x:c r="P104" s="7" t="n">
        <x:v>8</x:v>
      </x:c>
      <x:c r="Q104" s="7" t="str">
        <x:v>M</x:v>
      </x:c>
      <x:c r="R104" s="7" t="str">
        <x:v>v46.3</x:v>
      </x:c>
    </x:row>
    <x:row r="105">
      <x:c r="A105" s="7" t="str">
        <x:v>DEV-104</x:v>
      </x:c>
      <x:c r="B105" s="7" t="str">
        <x:v>Story</x:v>
      </x:c>
      <x:c r="C105" s="7" t="str">
        <x:v>E16 Certificate Intelligence</x:v>
      </x:c>
      <x:c r="D105" s="7" t="str">
        <x:v>Pre-Survey</x:v>
      </x:c>
      <x:c r="E105" s="7" t="str">
        <x:v>Pre-Survey Checklist ve voyage-fit hazırlığı</x:v>
      </x:c>
      <x:c r="F105" s="7" t="str">
        <x:v>Superintendent olarak sörvey öncesi hazırlık görevlerini requirement/evidence/due/voyage-fit ile izlemek istiyorum.</x:v>
      </x:c>
      <x:c r="G105" s="7" t="str">
        <x:v>Template/items/owner/due/evidence/verification/finding/voyage-fit; unresolved critical item blocks survey readiness.</x:v>
      </x:c>
      <x:c r="H105" s="7" t="str">
        <x:v>pre-survey-checklist</x:v>
      </x:c>
      <x:c r="I105" s="7" t="str">
        <x:v>P0</x:v>
      </x:c>
      <x:c r="J105" s="7" t="str">
        <x:v>S7</x:v>
      </x:c>
      <x:c r="K105" s="7" t="str">
        <x:v>Full Stack</x:v>
      </x:c>
      <x:c r="L105" s="7" t="str">
        <x:v>DEV-060,DEV-061</x:v>
      </x:c>
      <x:c r="M105" s="7" t="str">
        <x:v>T-CERT2-001</x:v>
      </x:c>
      <x:c r="N105" s="7" t="str">
        <x:v>Not Started</x:v>
      </x:c>
      <x:c r="O105" s="7" t="str">
        <x:v>YES</x:v>
      </x:c>
      <x:c r="P105" s="7" t="n">
        <x:v>8</x:v>
      </x:c>
      <x:c r="Q105" s="7" t="str">
        <x:v>M</x:v>
      </x:c>
      <x:c r="R105" s="7" t="str">
        <x:v>v46.3</x:v>
      </x:c>
    </x:row>
    <x:row r="106">
      <x:c r="A106" s="7" t="str">
        <x:v>DEV-105</x:v>
      </x:c>
      <x:c r="B106" s="7" t="str">
        <x:v>Story</x:v>
      </x:c>
      <x:c r="C106" s="7" t="str">
        <x:v>E06 Safety &amp; Learning</x:v>
      </x:c>
      <x:c r="D106" s="7" t="str">
        <x:v>Risk Assessment</x:v>
      </x:c>
      <x:c r="E106" s="7" t="str">
        <x:v>Genel Risk Assessment workspace</x:v>
      </x:c>
      <x:c r="F106" s="7" t="str">
        <x:v>Master/HSEQ olarak operasyon/iş bazlı initial/residual risk ve control/barrier setini yönetmek istiyorum.</x:v>
      </x:c>
      <x:c r="G106" s="7" t="str">
        <x:v>Hazard/consequence/initial risk/controls/owner/barriers/residual risk/stop-work/approval/ack; traceable to job/WO/event.</x:v>
      </x:c>
      <x:c r="H106" s="7" t="str">
        <x:v>risk-assessment</x:v>
      </x:c>
      <x:c r="I106" s="7" t="str">
        <x:v>P0</x:v>
      </x:c>
      <x:c r="J106" s="7" t="str">
        <x:v>S7</x:v>
      </x:c>
      <x:c r="K106" s="7" t="str">
        <x:v>Full Stack</x:v>
      </x:c>
      <x:c r="L106" s="7" t="str">
        <x:v>DEV-040,DEV-055</x:v>
      </x:c>
      <x:c r="M106" s="7" t="str">
        <x:v>T-RISK2-001</x:v>
      </x:c>
      <x:c r="N106" s="7" t="str">
        <x:v>Not Started</x:v>
      </x:c>
      <x:c r="O106" s="7" t="str">
        <x:v>YES</x:v>
      </x:c>
      <x:c r="P106" s="7" t="n">
        <x:v>13</x:v>
      </x:c>
      <x:c r="Q106" s="7" t="str">
        <x:v>H</x:v>
      </x:c>
      <x:c r="R106" s="7" t="str">
        <x:v>v46.3</x:v>
      </x:c>
    </x:row>
    <x:row r="107">
      <x:c r="A107" s="7" t="str">
        <x:v>DEV-106</x:v>
      </x:c>
      <x:c r="B107" s="7" t="str">
        <x:v>Story</x:v>
      </x:c>
      <x:c r="C107" s="7" t="str">
        <x:v>E06 Safety &amp; Learning</x:v>
      </x:c>
      <x:c r="D107" s="7" t="str">
        <x:v>Risk Template</x:v>
      </x:c>
      <x:c r="E107" s="7" t="str">
        <x:v>Risk Template Library ve revizyon yönetimi</x:v>
      </x:c>
      <x:c r="F107" s="7" t="str">
        <x:v>HSEQ olarak fleet-standard risk template'lerini kontrollü yayımlamak ve crew improvement suggestion almak istiyorum.</x:v>
      </x:c>
      <x:c r="G107" s="7" t="str">
        <x:v>Work type/scope/revision/effective date/hazards/default controls/barriers/owner/status/suggestions/source refs; superseded versions retained.</x:v>
      </x:c>
      <x:c r="H107" s="7" t="str">
        <x:v>risk-template-library</x:v>
      </x:c>
      <x:c r="I107" s="7" t="str">
        <x:v>P0</x:v>
      </x:c>
      <x:c r="J107" s="7" t="str">
        <x:v>S7</x:v>
      </x:c>
      <x:c r="K107" s="7" t="str">
        <x:v>Full Stack</x:v>
      </x:c>
      <x:c r="L107" s="7" t="str">
        <x:v>DEV-105</x:v>
      </x:c>
      <x:c r="M107" s="7" t="str">
        <x:v>T-RISK2-002</x:v>
      </x:c>
      <x:c r="N107" s="7" t="str">
        <x:v>Not Started</x:v>
      </x:c>
      <x:c r="O107" s="7" t="str">
        <x:v>YES</x:v>
      </x:c>
      <x:c r="P107" s="7" t="n">
        <x:v>8</x:v>
      </x:c>
      <x:c r="Q107" s="7" t="str">
        <x:v>M</x:v>
      </x:c>
      <x:c r="R107" s="7" t="str">
        <x:v>v46.3</x:v>
      </x:c>
    </x:row>
    <x:row r="108">
      <x:c r="A108" s="7" t="str">
        <x:v>DEV-107</x:v>
      </x:c>
      <x:c r="B108" s="7" t="str">
        <x:v>Story</x:v>
      </x:c>
      <x:c r="C108" s="7" t="str">
        <x:v>E06 Safety &amp; Learning</x:v>
      </x:c>
      <x:c r="D108" s="7" t="str">
        <x:v>High-Risk Work</x:v>
      </x:c>
      <x:c r="E108" s="7" t="str">
        <x:v>Fleet High-Risk Work exception görünümü</x:v>
      </x:c>
      <x:c r="F108" s="7" t="str">
        <x:v>DPA/HSEQ olarak tüm filodaki yüksek riskli işleri risk/permit/barrier/crew/equipment readiness ile görmek istiyorum.</x:v>
      </x:c>
      <x:c r="G108" s="7" t="str">
        <x:v>Fleet filter; risk/permit/barrier/crew/equipment state; owner/due; Why drill-down; no score hides critical blocker.</x:v>
      </x:c>
      <x:c r="H108" s="7" t="str">
        <x:v>high-risk-work</x:v>
      </x:c>
      <x:c r="I108" s="7" t="str">
        <x:v>P1</x:v>
      </x:c>
      <x:c r="J108" s="7" t="str">
        <x:v>S8</x:v>
      </x:c>
      <x:c r="K108" s="7" t="str">
        <x:v>Frontend+Backend</x:v>
      </x:c>
      <x:c r="L108" s="7" t="str">
        <x:v>DEV-105,DEV-106</x:v>
      </x:c>
      <x:c r="M108" s="7" t="str">
        <x:v>T-RISK2-003</x:v>
      </x:c>
      <x:c r="N108" s="7" t="str">
        <x:v>Not Started</x:v>
      </x:c>
      <x:c r="O108" s="7" t="str">
        <x:v>YES</x:v>
      </x:c>
      <x:c r="P108" s="7" t="n">
        <x:v>8</x:v>
      </x:c>
      <x:c r="Q108" s="7" t="str">
        <x:v>M</x:v>
      </x:c>
      <x:c r="R108" s="7" t="str">
        <x:v>v46.3</x:v>
      </x:c>
    </x:row>
    <x:row r="109">
      <x:c r="A109" s="7" t="str">
        <x:v>DEV-108</x:v>
      </x:c>
      <x:c r="B109" s="7" t="str">
        <x:v>Story</x:v>
      </x:c>
      <x:c r="C109" s="7" t="str">
        <x:v>E10 Technical/PMS</x:v>
      </x:c>
      <x:c r="D109" s="7" t="str">
        <x:v>Measurements</x:v>
      </x:c>
      <x:c r="E109" s="7" t="str">
        <x:v>PMS measurement point modelini güçlendir</x:v>
      </x:c>
      <x:c r="F109" s="7" t="str">
        <x:v>Technical olarak RPM/pressure/temp/condition readings ile threshold-based maintenance tetiklemek istiyorum.</x:v>
      </x:c>
      <x:c r="G109" s="7" t="str">
        <x:v>Measurement definitions, unit/range, source/manual-device, reading history, parent/sub counter propagation, threshold trigger, evidence.</x:v>
      </x:c>
      <x:c r="H109" s="7" t="str">
        <x:v>running-hours-meter + condition-monitoring</x:v>
      </x:c>
      <x:c r="I109" s="7" t="str">
        <x:v>P1</x:v>
      </x:c>
      <x:c r="J109" s="7" t="str">
        <x:v>S8</x:v>
      </x:c>
      <x:c r="K109" s="7" t="str">
        <x:v>Backend+Frontend</x:v>
      </x:c>
      <x:c r="L109" s="7" t="str">
        <x:v>DEV-052,DEV-054</x:v>
      </x:c>
      <x:c r="M109" s="7" t="str">
        <x:v>T-PMS2-002</x:v>
      </x:c>
      <x:c r="N109" s="7" t="str">
        <x:v>Not Started</x:v>
      </x:c>
      <x:c r="O109" s="7" t="str">
        <x:v>YES</x:v>
      </x:c>
      <x:c r="P109" s="7" t="n">
        <x:v>8</x:v>
      </x:c>
      <x:c r="Q109" s="7" t="str">
        <x:v>M</x:v>
      </x:c>
      <x:c r="R109" s="7" t="str">
        <x:v>NOZZLE benchmark strengthen</x:v>
      </x:c>
    </x:row>
    <x:row r="110">
      <x:c r="A110" s="7" t="str">
        <x:v>DEV-109</x:v>
      </x:c>
      <x:c r="B110" s="7" t="str">
        <x:v>Story</x:v>
      </x:c>
      <x:c r="C110" s="7" t="str">
        <x:v>E10 Technical/PMS</x:v>
      </x:c>
      <x:c r="D110" s="7" t="str">
        <x:v>Postponement</x:v>
      </x:c>
      <x:c r="E110" s="7" t="str">
        <x:v>Work Order postponement governance</x:v>
      </x:c>
      <x:c r="F110" s="7" t="str">
        <x:v>Chief Engineer/Tech Manager olarak WO ertelemesini gerekçe/onay/yeni due/readiness impact ile kontrollü yapmak istiyorum.</x:v>
      </x:c>
      <x:c r="G110" s="7" t="str">
        <x:v>Postpone request; reason; authority; risk review; new due; criticality; readiness recalculation; audit; max extension policy.</x:v>
      </x:c>
      <x:c r="H110" s="7" t="str">
        <x:v>work-order-detail</x:v>
      </x:c>
      <x:c r="I110" s="7" t="str">
        <x:v>P0</x:v>
      </x:c>
      <x:c r="J110" s="7" t="str">
        <x:v>S8</x:v>
      </x:c>
      <x:c r="K110" s="7" t="str">
        <x:v>Full Stack</x:v>
      </x:c>
      <x:c r="L110" s="7" t="str">
        <x:v>DEV-055,DEV-105</x:v>
      </x:c>
      <x:c r="M110" s="7" t="str">
        <x:v>T-PMS2-003</x:v>
      </x:c>
      <x:c r="N110" s="7" t="str">
        <x:v>Not Started</x:v>
      </x:c>
      <x:c r="O110" s="7" t="str">
        <x:v>YES</x:v>
      </x:c>
      <x:c r="P110" s="7" t="n">
        <x:v>8</x:v>
      </x:c>
      <x:c r="Q110" s="7" t="str">
        <x:v>H</x:v>
      </x:c>
      <x:c r="R110" s="7" t="str">
        <x:v>v46.3</x:v>
      </x:c>
    </x:row>
    <x:row r="111">
      <x:c r="A111" s="7" t="str">
        <x:v>DEV-110</x:v>
      </x:c>
      <x:c r="B111" s="7" t="str">
        <x:v>Story</x:v>
      </x:c>
      <x:c r="C111" s="7" t="str">
        <x:v>E19 Technical Supply</x:v>
      </x:c>
      <x:c r="D111" s="7" t="str">
        <x:v>Critical Spares</x:v>
      </x:c>
      <x:c r="E111" s="7" t="str">
        <x:v>Low-stock ve teknik otomatik requisition</x:v>
      </x:c>
      <x:c r="F111" s="7" t="str">
        <x:v>Chief Engineer olarak critical spare min seviyeye inince kontrollü requisition başlatmak istiyorum.</x:v>
      </x:c>
      <x:c r="G111" s="7" t="str">
        <x:v>Min/max; current stock; WO/equipment criticality; low-stock alert; proposed requisition; human approval; no full procurement workflow.</x:v>
      </x:c>
      <x:c r="H111" s="7" t="str">
        <x:v>critical-spares + technical-requisition</x:v>
      </x:c>
      <x:c r="I111" s="7" t="str">
        <x:v>P0</x:v>
      </x:c>
      <x:c r="J111" s="7" t="str">
        <x:v>S8</x:v>
      </x:c>
      <x:c r="K111" s="7" t="str">
        <x:v>Full Stack</x:v>
      </x:c>
      <x:c r="L111" s="7" t="str">
        <x:v>DEV-057</x:v>
      </x:c>
      <x:c r="M111" s="7" t="str">
        <x:v>T-SUP2-001</x:v>
      </x:c>
      <x:c r="N111" s="7" t="str">
        <x:v>Not Started</x:v>
      </x:c>
      <x:c r="O111" s="7" t="str">
        <x:v>YES</x:v>
      </x:c>
      <x:c r="P111" s="7" t="n">
        <x:v>8</x:v>
      </x:c>
      <x:c r="Q111" s="7" t="str">
        <x:v>M</x:v>
      </x:c>
      <x:c r="R111" s="7" t="str">
        <x:v>ERP boundary preserved</x:v>
      </x:c>
    </x:row>
    <x:row r="112">
      <x:c r="A112" s="7" t="str">
        <x:v>DEV-111</x:v>
      </x:c>
      <x:c r="B112" s="7" t="str">
        <x:v>Story</x:v>
      </x:c>
      <x:c r="C112" s="7" t="str">
        <x:v>E10 Technical/PMS</x:v>
      </x:c>
      <x:c r="D112" s="7" t="str">
        <x:v>Drydock</x:v>
      </x:c>
      <x:c r="E112" s="7" t="str">
        <x:v>Drydock-cert-survey-WorkOrder bağını güçlendir</x:v>
      </x:c>
      <x:c r="F112" s="7" t="str">
        <x:v>Technical Superintendent olarak drydock scope'u WO/defect/certificate/survey ile planlamak istiyorum.</x:v>
      </x:c>
      <x:c r="G112" s="7" t="str">
        <x:v>Drydock timeline; scope items; WO/defect/survey/cert links; readiness and evidence; supplier/budget remain external/integration-only.</x:v>
      </x:c>
      <x:c r="H112" s="7" t="str">
        <x:v>drydock-planning</x:v>
      </x:c>
      <x:c r="I112" s="7" t="str">
        <x:v>P1</x:v>
      </x:c>
      <x:c r="J112" s="7" t="str">
        <x:v>S9</x:v>
      </x:c>
      <x:c r="K112" s="7" t="str">
        <x:v>Full Stack</x:v>
      </x:c>
      <x:c r="L112" s="7" t="str">
        <x:v>DEV-055,DEV-104</x:v>
      </x:c>
      <x:c r="M112" s="7" t="str">
        <x:v>T-PMS2-004</x:v>
      </x:c>
      <x:c r="N112" s="7" t="str">
        <x:v>Not Started</x:v>
      </x:c>
      <x:c r="O112" s="7" t="str">
        <x:v>NO</x:v>
      </x:c>
      <x:c r="P112" s="7" t="n">
        <x:v>8</x:v>
      </x:c>
      <x:c r="Q112" s="7" t="str">
        <x:v>M</x:v>
      </x:c>
      <x:c r="R112" s="7" t="str">
        <x:v>v46.3 strengthen</x:v>
      </x:c>
    </x:row>
    <x:row r="113">
      <x:c r="A113" s="7" t="str">
        <x:v>DEV-112</x:v>
      </x:c>
      <x:c r="B113" s="7" t="str">
        <x:v>Story</x:v>
      </x:c>
      <x:c r="C113" s="7" t="str">
        <x:v>E16 Certificate Intelligence</x:v>
      </x:c>
      <x:c r="D113" s="7" t="str">
        <x:v>Survey Calendar</x:v>
      </x:c>
      <x:c r="E113" s="7" t="str">
        <x:v>Survey Planner'a fleet calendar ve voyage-aware fit ekle</x:v>
      </x:c>
      <x:c r="F113" s="7" t="str">
        <x:v>Superintendent olarak survey/certificate renewal'ı voyage takvimiyle çakıştırmadan planlamak istiyorum.</x:v>
      </x:c>
      <x:c r="G113" s="7" t="str">
        <x:v>Fleet calendar; survey window; voyage/port fit; pre-survey checklist; class/flag coordination; CONDITIONAL/NOT_FIT states.</x:v>
      </x:c>
      <x:c r="H113" s="7" t="str">
        <x:v>survey-planner</x:v>
      </x:c>
      <x:c r="I113" s="7" t="str">
        <x:v>P1</x:v>
      </x:c>
      <x:c r="J113" s="7" t="str">
        <x:v>S7</x:v>
      </x:c>
      <x:c r="K113" s="7" t="str">
        <x:v>Full Stack</x:v>
      </x:c>
      <x:c r="L113" s="7" t="str">
        <x:v>DEV-104</x:v>
      </x:c>
      <x:c r="M113" s="7" t="str">
        <x:v>T-CERT2-002</x:v>
      </x:c>
      <x:c r="N113" s="7" t="str">
        <x:v>Not Started</x:v>
      </x:c>
      <x:c r="O113" s="7" t="str">
        <x:v>YES</x:v>
      </x:c>
      <x:c r="P113" s="7" t="n">
        <x:v>8</x:v>
      </x:c>
      <x:c r="Q113" s="7" t="str">
        <x:v>M</x:v>
      </x:c>
      <x:c r="R113" s="7" t="str">
        <x:v>NOZZLE benchmark strengthen</x:v>
      </x:c>
    </x:row>
    <x:row r="114">
      <x:c r="A114" s="7" t="str">
        <x:v>DEV-113</x:v>
      </x:c>
      <x:c r="B114" s="7" t="str">
        <x:v>Story</x:v>
      </x:c>
      <x:c r="C114" s="7" t="str">
        <x:v>E17 Assurance &amp; Audit</x:v>
      </x:c>
      <x:c r="D114" s="7" t="str">
        <x:v>SIRE 2.0</x:v>
      </x:c>
      <x:c r="E114" s="7" t="str">
        <x:v>SIRE 2.0 inspection import ve offline evidence</x:v>
      </x:c>
      <x:c r="F114" s="7" t="str">
        <x:v>Tanker assurance olarak inspection items/findings/evidence'i kontrollü içe alıp offline saha doğrulamak istiyorum.</x:v>
      </x:c>
      <x:c r="G114" s="7" t="str">
        <x:v>Versioned import mapping; no blind overwrite; offline photo/video evidence; finding/action trace; tanker-only applicability.</x:v>
      </x:c>
      <x:c r="H114" s="7" t="str">
        <x:v>industry-assurance + audit-ready</x:v>
      </x:c>
      <x:c r="I114" s="7" t="str">
        <x:v>P1</x:v>
      </x:c>
      <x:c r="J114" s="7" t="str">
        <x:v>S10</x:v>
      </x:c>
      <x:c r="K114" s="7" t="str">
        <x:v>Full Stack</x:v>
      </x:c>
      <x:c r="L114" s="7" t="str">
        <x:v>DEV-063,DEV-031</x:v>
      </x:c>
      <x:c r="M114" s="7" t="str">
        <x:v>T-ASS2-001</x:v>
      </x:c>
      <x:c r="N114" s="7" t="str">
        <x:v>Not Started</x:v>
      </x:c>
      <x:c r="O114" s="7" t="str">
        <x:v>NO</x:v>
      </x:c>
      <x:c r="P114" s="7" t="n">
        <x:v>13</x:v>
      </x:c>
      <x:c r="Q114" s="7" t="str">
        <x:v>H</x:v>
      </x:c>
      <x:c r="R114" s="7" t="str">
        <x:v>v46.3 tanker package</x:v>
      </x:c>
    </x:row>
    <x:row r="115">
      <x:c r="A115" s="7" t="str">
        <x:v>DEV-114</x:v>
      </x:c>
      <x:c r="B115" s="7" t="str">
        <x:v>Story</x:v>
      </x:c>
      <x:c r="C115" s="7" t="str">
        <x:v>E08 Controlled Knowledge</x:v>
      </x:c>
      <x:c r="D115" s="7" t="str">
        <x:v>Document Compare</x:v>
      </x:c>
      <x:c r="E115" s="7" t="str">
        <x:v>Doküman side-by-side version compare ve security controls</x:v>
      </x:c>
      <x:c r="F115" s="7" t="str">
        <x:v>Document Controller olarak iki revizyonu karşılaştırmak ve hassas dokümanda download/print politikasını uygulamak istiyorum.</x:v>
      </x:c>
      <x:c r="G115" s="7" t="str">
        <x:v>Version diff; approval history; download/print policy; ISPS sensitive document ACL; acknowledgement retained.</x:v>
      </x:c>
      <x:c r="H115" s="7" t="str">
        <x:v>controlled-knowledge</x:v>
      </x:c>
      <x:c r="I115" s="7" t="str">
        <x:v>P1</x:v>
      </x:c>
      <x:c r="J115" s="7" t="str">
        <x:v>S9</x:v>
      </x:c>
      <x:c r="K115" s="7" t="str">
        <x:v>Full Stack</x:v>
      </x:c>
      <x:c r="L115" s="7" t="str">
        <x:v>DEV-045,DEV-006</x:v>
      </x:c>
      <x:c r="M115" s="7" t="str">
        <x:v>T-DOC2-001</x:v>
      </x:c>
      <x:c r="N115" s="7" t="str">
        <x:v>Not Started</x:v>
      </x:c>
      <x:c r="O115" s="7" t="str">
        <x:v>NO</x:v>
      </x:c>
      <x:c r="P115" s="7" t="n">
        <x:v>8</x:v>
      </x:c>
      <x:c r="Q115" s="7" t="str">
        <x:v>M</x:v>
      </x:c>
      <x:c r="R115" s="7" t="str">
        <x:v>v46.3 strengthen</x:v>
      </x:c>
    </x:row>
    <x:row r="116">
      <x:c r="A116" s="7" t="str">
        <x:v>DEV-115</x:v>
      </x:c>
      <x:c r="B116" s="7" t="str">
        <x:v>Task</x:v>
      </x:c>
      <x:c r="C116" s="7" t="str">
        <x:v>E20 Production Hardening</x:v>
      </x:c>
      <x:c r="D116" s="7" t="str">
        <x:v>Benchmark Regression</x:v>
      </x:c>
      <x:c r="E116" s="7" t="str">
        <x:v>v46.3 competitor-delta regression pack</x:v>
      </x:c>
      <x:c r="F116" s="7" t="str">
        <x:v>QA olarak 11 yeni ekran ve güçlendirilen PMS/assurance akışlarında v46.2 non-regression kanıtı istiyorum.</x:v>
      </x:c>
      <x:c r="G116" s="7" t="str">
        <x:v>196 screen inventory; 2316 field trace; 11 new-screen E2E; no tug/applicability/readiness regression; old URLs/IDs stable unless controlled change.</x:v>
      </x:c>
      <x:c r="H116" s="7" t="str">
        <x:v>RTM + Test Pack</x:v>
      </x:c>
      <x:c r="I116" s="7" t="str">
        <x:v>P0</x:v>
      </x:c>
      <x:c r="J116" s="7" t="str">
        <x:v>S10</x:v>
      </x:c>
      <x:c r="K116" s="7" t="str">
        <x:v>QA/BA</x:v>
      </x:c>
      <x:c r="L116" s="7" t="str">
        <x:v>DEV-097:DEV-114</x:v>
      </x:c>
      <x:c r="M116" s="7" t="str">
        <x:v>T-V463-001</x:v>
      </x:c>
      <x:c r="N116" s="7" t="str">
        <x:v>Not Started</x:v>
      </x:c>
      <x:c r="O116" s="7" t="str">
        <x:v>YES</x:v>
      </x:c>
      <x:c r="P116" s="7" t="n">
        <x:v>13</x:v>
      </x:c>
      <x:c r="Q116" s="7" t="str">
        <x:v>H</x:v>
      </x:c>
      <x:c r="R116" s="7" t="str">
        <x:v>v46.3 controlled candidate</x:v>
      </x:c>
    </x:row>
    <x:row r="117">
      <x:c r="A117" s="7" t="str">
        <x:v>DEV-116</x:v>
      </x:c>
      <x:c r="B117" s="7" t="str">
        <x:v>Task</x:v>
      </x:c>
      <x:c r="C117" s="7" t="str">
        <x:v>E20 Production Hardening</x:v>
      </x:c>
      <x:c r="D117" s="7" t="str">
        <x:v>ERP Boundary</x:v>
      </x:c>
      <x:c r="E117" s="7" t="str">
        <x:v>ERP scope boundary integration contracts</x:v>
      </x:c>
      <x:c r="F117" s="7" t="str">
        <x:v>Architect olarak finance/payroll/full procurement/warehouse/chartering'in ürün içine sızmamasını istiyorum.</x:v>
      </x:c>
      <x:c r="G117" s="7" t="str">
        <x:v>Explicit OUT list; integration-only contracts; technical requisition/critical spares boundary; no accidental PO/AP/AR/payroll tables.</x:v>
      </x:c>
      <x:c r="H117" s="7" t="str">
        <x:v>Architecture / API</x:v>
      </x:c>
      <x:c r="I117" s="7" t="str">
        <x:v>P0</x:v>
      </x:c>
      <x:c r="J117" s="7" t="str">
        <x:v>S0</x:v>
      </x:c>
      <x:c r="K117" s="7" t="str">
        <x:v>Solution Architect</x:v>
      </x:c>
      <x:c r="L117" s="7" t="str">
        <x:v>DEV-004</x:v>
      </x:c>
      <x:c r="M117" s="7" t="str">
        <x:v>T-V463-002</x:v>
      </x:c>
      <x:c r="N117" s="7" t="str">
        <x:v>Not Started</x:v>
      </x:c>
      <x:c r="O117" s="7" t="str">
        <x:v>YES</x:v>
      </x:c>
      <x:c r="P117" s="7" t="n">
        <x:v>5</x:v>
      </x:c>
      <x:c r="Q117" s="7" t="str">
        <x:v>M</x:v>
      </x:c>
      <x:c r="R117" s="7" t="str">
        <x:v>Strategic guardrail</x:v>
      </x:c>
    </x:row>
    <x:row r="118">
      <x:c r="A118" s="7" t="str">
        <x:v>DEV-117</x:v>
      </x:c>
      <x:c r="B118" s="7" t="str">
        <x:v>Task</x:v>
      </x:c>
      <x:c r="C118" s="7" t="str">
        <x:v>E20 Production Hardening</x:v>
      </x:c>
      <x:c r="D118" s="7" t="str">
        <x:v>Class Approval</x:v>
      </x:c>
      <x:c r="E118" s="7" t="str">
        <x:v>PMS type approval roadmap</x:v>
      </x:c>
      <x:c r="F118" s="7" t="str">
        <x:v>Product/Technical olarak DNV/ClassNK/Türk Loydu gap analizini ve kanıt planını görmek istiyorum.</x:v>
      </x:c>
      <x:c r="G118" s="7" t="str">
        <x:v>Target class; applicable approval scheme; gap list; required PMS features/test evidence; owner/timeline; no certification claim before award.</x:v>
      </x:c>
      <x:c r="H118" s="7" t="str">
        <x:v>Certification Roadmap</x:v>
      </x:c>
      <x:c r="I118" s="7" t="str">
        <x:v>P1</x:v>
      </x:c>
      <x:c r="J118" s="7" t="str">
        <x:v>S11</x:v>
      </x:c>
      <x:c r="K118" s="7" t="str">
        <x:v>Product+Technical</x:v>
      </x:c>
      <x:c r="L118" s="7" t="str">
        <x:v>DEV-103,DEV-108,DEV-109</x:v>
      </x:c>
      <x:c r="M118" s="7" t="str">
        <x:v>T-V463-003</x:v>
      </x:c>
      <x:c r="N118" s="7" t="str">
        <x:v>Not Started</x:v>
      </x:c>
      <x:c r="O118" s="7" t="str">
        <x:v>NO</x:v>
      </x:c>
      <x:c r="P118" s="7" t="n">
        <x:v>5</x:v>
      </x:c>
      <x:c r="Q118" s="7" t="str">
        <x:v>M</x:v>
      </x:c>
      <x:c r="R118" s="7" t="str">
        <x:v>NOZZLE proof gap</x:v>
      </x:c>
    </x:row>
    <x:row r="119">
      <x:c r="A119" s="7" t="str">
        <x:v>DEV-118</x:v>
      </x:c>
      <x:c r="B119" s="7" t="str">
        <x:v>Task</x:v>
      </x:c>
      <x:c r="C119" s="7" t="str">
        <x:v>E20 Production Hardening</x:v>
      </x:c>
      <x:c r="D119" s="7" t="str">
        <x:v>Security Certification</x:v>
      </x:c>
      <x:c r="E119" s="7" t="str">
        <x:v>ISO 27001/27701 readiness roadmap</x:v>
      </x:c>
      <x:c r="F119" s="7" t="str">
        <x:v>Security/Product olarak enterprise certification hazırlık backlog'unu oluşturmak istiyorum.</x:v>
      </x:c>
      <x:c r="G119" s="7" t="str">
        <x:v>ISMS/PIMS scope, controls/evidence owners, audit readiness, provider/tenant/data boundaries; roadmap approved.</x:v>
      </x:c>
      <x:c r="H119" s="7" t="str">
        <x:v>Security Roadmap</x:v>
      </x:c>
      <x:c r="I119" s="7" t="str">
        <x:v>P1</x:v>
      </x:c>
      <x:c r="J119" s="7" t="str">
        <x:v>S11</x:v>
      </x:c>
      <x:c r="K119" s="7" t="str">
        <x:v>Security/Product</x:v>
      </x:c>
      <x:c r="L119" s="7" t="str">
        <x:v>DEV-006</x:v>
      </x:c>
      <x:c r="M119" s="7" t="str">
        <x:v>T-V463-004</x:v>
      </x:c>
      <x:c r="N119" s="7" t="str">
        <x:v>Not Started</x:v>
      </x:c>
      <x:c r="O119" s="7" t="str">
        <x:v>NO</x:v>
      </x:c>
      <x:c r="P119" s="7" t="n">
        <x:v>5</x:v>
      </x:c>
      <x:c r="Q119" s="7" t="str">
        <x:v>M</x:v>
      </x:c>
      <x:c r="R119" s="7" t="str">
        <x:v>Commercial proof</x:v>
      </x:c>
    </x:row>
    <x:row r="120">
      <x:c r="A120" s="7" t="str">
        <x:v>DEV-119</x:v>
      </x:c>
      <x:c r="B120" s="7" t="str">
        <x:v>Task</x:v>
      </x:c>
      <x:c r="C120" s="7" t="str">
        <x:v>E21 Tug Operations</x:v>
      </x:c>
      <x:c r="D120" s="7" t="str">
        <x:v>Differentiator Demo</x:v>
      </x:c>
      <x:c r="E120" s="7" t="str">
        <x:v>Römorkör end-to-end buyer demo'sunu v46.3'e göre güçlendir</x:v>
      </x:c>
      <x:c r="F120" s="7" t="str">
        <x:v>Presales/PO olarak tug job'dan evidence/history'ye farklılaştırıcı akışı 10 dakikada göstermek istiyorum.</x:v>
      </x:c>
      <x:c r="G120" s="7" t="str">
        <x:v>Intake→assignment→BP/crew/equipment readiness→plan→RA/briefing→Master release→execution→evidence; Why visible.</x:v>
      </x:c>
      <x:c r="H120" s="7" t="str">
        <x:v>Tug Demo Journey</x:v>
      </x:c>
      <x:c r="I120" s="7" t="str">
        <x:v>P0</x:v>
      </x:c>
      <x:c r="J120" s="7" t="str">
        <x:v>S10</x:v>
      </x:c>
      <x:c r="K120" s="7" t="str">
        <x:v>Product+UX</x:v>
      </x:c>
      <x:c r="L120" s="7" t="str">
        <x:v>DEV-081:DEV-092,DEV-105</x:v>
      </x:c>
      <x:c r="M120" s="7" t="str">
        <x:v>T-V463-005</x:v>
      </x:c>
      <x:c r="N120" s="7" t="str">
        <x:v>Not Started</x:v>
      </x:c>
      <x:c r="O120" s="7" t="str">
        <x:v>YES</x:v>
      </x:c>
      <x:c r="P120" s="7" t="n">
        <x:v>5</x:v>
      </x:c>
      <x:c r="Q120" s="7" t="str">
        <x:v>M</x:v>
      </x:c>
      <x:c r="R120" s="7" t="str">
        <x:v>Core wedge</x:v>
      </x:c>
    </x:row>
    <x:row r="121">
      <x:c r="A121" s="7" t="str">
        <x:v>DEV-120</x:v>
      </x:c>
      <x:c r="B121" s="7" t="str">
        <x:v>Task</x:v>
      </x:c>
      <x:c r="C121" s="7" t="str">
        <x:v>E22 Ship Operations 2.0</x:v>
      </x:c>
      <x:c r="D121" s="7" t="str">
        <x:v>Ship Demo</x:v>
      </x:c>
      <x:c r="E121" s="7" t="str">
        <x:v>Gemi operasyon buyer demo'su</x:v>
      </x:c>
      <x:c r="F121" s="7" t="str">
        <x:v>Presales/PO olarak Departure→Noon/Daily Log→Fuel/BDN→SOF→Downtime→Readiness akışını göstermek istiyorum.</x:v>
      </x:c>
      <x:c r="G121" s="7" t="str">
        <x:v>Single-entry reuse visible; compliance/technical links; no duplicate entry; Why/readiness/evidence shown.</x:v>
      </x:c>
      <x:c r="H121" s="7" t="str">
        <x:v>Ship Demo Journey</x:v>
      </x:c>
      <x:c r="I121" s="7" t="str">
        <x:v>P0</x:v>
      </x:c>
      <x:c r="J121" s="7" t="str">
        <x:v>S10</x:v>
      </x:c>
      <x:c r="K121" s="7" t="str">
        <x:v>Product+UX</x:v>
      </x:c>
      <x:c r="L121" s="7" t="str">
        <x:v>DEV-097:DEV-102</x:v>
      </x:c>
      <x:c r="M121" s="7" t="str">
        <x:v>T-V463-006</x:v>
      </x:c>
      <x:c r="N121" s="7" t="str">
        <x:v>Not Started</x:v>
      </x:c>
      <x:c r="O121" s="7" t="str">
        <x:v>YES</x:v>
      </x:c>
      <x:c r="P121" s="7" t="n">
        <x:v>5</x:v>
      </x:c>
      <x:c r="Q121" s="7" t="str">
        <x:v>M</x:v>
      </x:c>
      <x:c r="R121" s="7" t="str">
        <x:v>Close ship-ops gap</x:v>
      </x:c>
    </x:row>
    <x:row r="122">
      <x:c r="A122" s="7" t="str">
        <x:v>DEV-121</x:v>
      </x:c>
      <x:c r="B122" s="7" t="str">
        <x:v>Task</x:v>
      </x:c>
      <x:c r="C122" s="7" t="str">
        <x:v>E20 Production Hardening</x:v>
      </x:c>
      <x:c r="D122" s="7" t="str">
        <x:v>Pilot Proof</x:v>
      </x:c>
      <x:c r="E122" s="7" t="str">
        <x:v>v46.3 ship+tug pilot proof metrics</x:v>
      </x:c>
      <x:c r="F122" s="7" t="str">
        <x:v>PO olarak rakip analizinden eklenen işlevlerin sahada değerini kanıtlamak istiyorum.</x:v>
      </x:c>
      <x:c r="G122" s="7" t="str">
        <x:v>1 ship + 1 tug; time-to-complete; duplicate-entry reduction; evidence completeness; readiness accuracy; offline success; user adoption; signed UAT.</x:v>
      </x:c>
      <x:c r="H122" s="7" t="str">
        <x:v>Pilot Metrics</x:v>
      </x:c>
      <x:c r="I122" s="7" t="str">
        <x:v>P0</x:v>
      </x:c>
      <x:c r="J122" s="7" t="str">
        <x:v>PILOT-W4</x:v>
      </x:c>
      <x:c r="K122" s="7" t="str">
        <x:v>Product+Pilot</x:v>
      </x:c>
      <x:c r="L122" s="7" t="str">
        <x:v>DEV-115,DEV-119,DEV-120</x:v>
      </x:c>
      <x:c r="M122" s="7" t="str">
        <x:v>T-V463-007</x:v>
      </x:c>
      <x:c r="N122" s="7" t="str">
        <x:v>Not Started</x:v>
      </x:c>
      <x:c r="O122" s="7" t="str">
        <x:v>YES</x:v>
      </x:c>
      <x:c r="P122" s="7" t="n">
        <x:v>8</x:v>
      </x:c>
      <x:c r="Q122" s="7" t="str">
        <x:v>H</x:v>
      </x:c>
      <x:c r="R122" s="7" t="str">
        <x:v>Feature list değil proof</x:v>
      </x:c>
    </x:row>
  </x:sheetData>
  <x:conditionalFormatting sqref="N2:N80">
    <x:cfRule type="expression" dxfId="0" priority="1">
      <x:formula>N2="Done"</x:formula>
    </x:cfRule>
    <x:cfRule type="expression" dxfId="1" priority="2">
      <x:formula>N2="Blocked"</x:formula>
    </x:cfRule>
    <x:cfRule type="expression" dxfId="2" priority="3">
      <x:formula>N2="In Progress"</x:formula>
    </x:cfRule>
  </x:conditionalFormatting>
  <x:dataValidations count="5">
    <x:dataValidation type="list" sqref="N2:N80">
      <x:formula1>"Not Started,Ready,In Progress,Blocked,In Review,Done,Deferred"</x:formula1>
    </x:dataValidation>
    <x:dataValidation type="list" sqref="I2:I80">
      <x:formula1>"P0,P1,P2"</x:formula1>
    </x:dataValidation>
    <x:dataValidation type="list" sqref="Q2:Q80">
      <x:formula1>"L,M,H"</x:formula1>
    </x:dataValidation>
    <x:dataValidation type="list" sqref="I98:I122">
      <x:formula1>"P0,P1,P2"</x:formula1>
    </x:dataValidation>
    <x:dataValidation type="list" sqref="N98:N122">
      <x:formula1>"Not Started,In Progress,Blocked,Done"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2003a3f44da44a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4" hidden="0" customWidth="1"/>
    <x:col min="4" max="4" width="14" hidden="0" customWidth="1"/>
    <x:col min="5" max="5" width="62" hidden="0" customWidth="1"/>
    <x:col min="6" max="6" width="36" hidden="0" customWidth="1"/>
    <x:col min="8" max="8" width="28" hidden="0" customWidth="1"/>
    <x:col min="9" max="9" width="58" hidden="0" customWidth="1"/>
  </x:cols>
  <x:sheetData>
    <x:row r="1">
      <x:c r="A1" s="6" t="str">
        <x:v>Sprint</x:v>
      </x:c>
      <x:c r="B1" s="6" t="str">
        <x:v>Phase</x:v>
      </x:c>
      <x:c r="C1" s="6" t="str">
        <x:v>Start</x:v>
      </x:c>
      <x:c r="D1" s="6" t="str">
        <x:v>End</x:v>
      </x:c>
      <x:c r="E1" s="6" t="str">
        <x:v>Primary Outcome</x:v>
      </x:c>
      <x:c r="F1" s="6" t="str">
        <x:v>Exit Gate</x:v>
      </x:c>
      <x:c r="H1" s="31" t="str">
        <x:v>v46.2 Dual-Mode Milestone</x:v>
      </x:c>
      <x:c r="I1" s="31" t="str">
        <x:v>Proof</x:v>
      </x:c>
    </x:row>
    <x:row r="2">
      <x:c r="A2" s="7" t="str">
        <x:v>S0</x:v>
      </x:c>
      <x:c r="B2" s="7" t="str">
        <x:v>Sprint 0 / Freeze</x:v>
      </x:c>
      <x:c r="C2" s="10" t="n">
        <x:v>46300</x:v>
      </x:c>
      <x:c r="D2" s="10" t="n">
        <x:v>46311</x:v>
      </x:c>
      <x:c r="E2" s="7" t="str">
        <x:v>Spec/architecture/security/data/trace/environment freeze</x:v>
      </x:c>
      <x:c r="F2" s="7" t="str">
        <x:v>Sprint 0 Gate PASS</x:v>
      </x:c>
      <x:c r="H2" s="7" t="str">
        <x:v>S5-S6</x:v>
      </x:c>
      <x:c r="I2" s="7" t="str">
        <x:v>Tug context + job intake/board</x:v>
      </x:c>
    </x:row>
    <x:row r="3">
      <x:c r="A3" s="7" t="str">
        <x:v>S1</x:v>
      </x:c>
      <x:c r="B3" s="7" t="str">
        <x:v>Foundation</x:v>
      </x:c>
      <x:c r="C3" s="10" t="n">
        <x:v>46314</x:v>
      </x:c>
      <x:c r="D3" s="10" t="n">
        <x:v>46325</x:v>
      </x:c>
      <x:c r="E3" s="7" t="str">
        <x:v>Identity, tenant isolation, RBAC, audit, secure files</x:v>
      </x:c>
      <x:c r="F3" s="7" t="str">
        <x:v>Security/tenant baseline pass</x:v>
      </x:c>
      <x:c r="H3" s="7" t="str">
        <x:v>S7</x:v>
      </x:c>
      <x:c r="I3" s="7" t="str">
        <x:v>Assignment + readiness + crew/equipment</x:v>
      </x:c>
    </x:row>
    <x:row r="4">
      <x:c r="A4" s="7" t="str">
        <x:v>S2</x:v>
      </x:c>
      <x:c r="B4" s="7" t="str">
        <x:v>Foundation</x:v>
      </x:c>
      <x:c r="C4" s="10" t="n">
        <x:v>46328</x:v>
      </x:c>
      <x:c r="D4" s="10" t="n">
        <x:v>46339</x:v>
      </x:c>
      <x:c r="E4" s="7" t="str">
        <x:v>Vessel/role context, role-first shell, Today, Why foundation</x:v>
      </x:c>
      <x:c r="F4" s="7" t="str">
        <x:v>Role UX shell UAT</x:v>
      </x:c>
      <x:c r="H4" s="7" t="str">
        <x:v>S8</x:v>
      </x:c>
      <x:c r="I4" s="7" t="str">
        <x:v>Towage plan + risk/briefing</x:v>
      </x:c>
    </x:row>
    <x:row r="5">
      <x:c r="A5" s="7" t="str">
        <x:v>S3</x:v>
      </x:c>
      <x:c r="B5" s="7" t="str">
        <x:v>Foundation</x:v>
      </x:c>
      <x:c r="C5" s="10" t="n">
        <x:v>46342</x:v>
      </x:c>
      <x:c r="D5" s="10" t="n">
        <x:v>46353</x:v>
      </x:c>
      <x:c r="E5" s="7" t="str">
        <x:v>Requirement/applicability/control/evidence/verification/decision E2E</x:v>
      </x:c>
      <x:c r="F5" s="7" t="str">
        <x:v>Core trace chain E2E pass</x:v>
      </x:c>
      <x:c r="H5" s="7" t="str">
        <x:v>S9</x:v>
      </x:c>
      <x:c r="I5" s="7" t="str">
        <x:v>Towage execution + log</x:v>
      </x:c>
    </x:row>
    <x:row r="6">
      <x:c r="A6" s="7" t="str">
        <x:v>S4</x:v>
      </x:c>
      <x:c r="B6" s="7" t="str">
        <x:v>Foundation</x:v>
      </x:c>
      <x:c r="C6" s="10" t="n">
        <x:v>46356</x:v>
      </x:c>
      <x:c r="D6" s="10" t="n">
        <x:v>46367</x:v>
      </x:c>
      <x:c r="E6" s="7" t="str">
        <x:v>Offline queue/sync/conflict + notifications + health</x:v>
      </x:c>
      <x:c r="F6" s="7" t="str">
        <x:v>Offline chaos baseline pass</x:v>
      </x:c>
      <x:c r="H6" s="7" t="str">
        <x:v>S10</x:v>
      </x:c>
      <x:c r="I6" s="7" t="str">
        <x:v>Offline/history hardening</x:v>
      </x:c>
    </x:row>
    <x:row r="7">
      <x:c r="A7" s="7" t="str">
        <x:v>S5</x:v>
      </x:c>
      <x:c r="B7" s="7" t="str">
        <x:v>Pilot Vertical Slice</x:v>
      </x:c>
      <x:c r="C7" s="10" t="n">
        <x:v>46370</x:v>
      </x:c>
      <x:c r="D7" s="10" t="n">
        <x:v>46381</x:v>
      </x:c>
      <x:c r="E7" s="7" t="str">
        <x:v>Vessel onboarding + applicability/control generation</x:v>
      </x:c>
      <x:c r="F7" s="7" t="str">
        <x:v>Onboarding/applicability SME review</x:v>
      </x:c>
      <x:c r="H7" s="7" t="str">
        <x:v>S11</x:v>
      </x:c>
      <x:c r="I7" s="7" t="str">
        <x:v>Tug UAT + regulatory review</x:v>
      </x:c>
    </x:row>
    <x:row r="8">
      <x:c r="A8" s="7" t="str">
        <x:v>S6</x:v>
      </x:c>
      <x:c r="B8" s="7" t="str">
        <x:v>Pilot Vertical Slice</x:v>
      </x:c>
      <x:c r="C8" s="10" t="n">
        <x:v>46384</x:v>
      </x:c>
      <x:c r="D8" s="10" t="n">
        <x:v>46395</x:v>
      </x:c>
      <x:c r="E8" s="7" t="str">
        <x:v>Certificate intelligence + renewal + OCR assist</x:v>
      </x:c>
      <x:c r="F8" s="7" t="str">
        <x:v>Certificate/OCR validation</x:v>
      </x:c>
      <x:c r="H8" s="7" t="str">
        <x:v>Pilot</x:v>
      </x:c>
      <x:c r="I8" s="7" t="str">
        <x:v>1 ship + 1 tug dual-mode proof</x:v>
      </x:c>
    </x:row>
    <x:row r="9">
      <x:c r="A9" s="7" t="str">
        <x:v>S7</x:v>
      </x:c>
      <x:c r="B9" s="7" t="str">
        <x:v>Pilot Vertical Slice</x:v>
      </x:c>
      <x:c r="C9" s="10" t="n">
        <x:v>46398</x:v>
      </x:c>
      <x:c r="D9" s="10" t="n">
        <x:v>46409</x:v>
      </x:c>
      <x:c r="E9" s="7" t="str">
        <x:v>Crew roster/certificates/competence/safe manning</x:v>
      </x:c>
      <x:c r="F9" s="7" t="str">
        <x:v>Crew eligibility UAT</x:v>
      </x:c>
    </x:row>
    <x:row r="10">
      <x:c r="A10" s="7" t="str">
        <x:v>S8</x:v>
      </x:c>
      <x:c r="B10" s="7" t="str">
        <x:v>Pilot Vertical Slice</x:v>
      </x:c>
      <x:c r="C10" s="10" t="n">
        <x:v>46412</x:v>
      </x:c>
      <x:c r="D10" s="10" t="n">
        <x:v>46423</x:v>
      </x:c>
      <x:c r="E10" s="7" t="str">
        <x:v>PMS/WO/critical defect + offline WO</x:v>
      </x:c>
      <x:c r="F10" s="7" t="str">
        <x:v>Technical pilot flow pass</x:v>
      </x:c>
    </x:row>
    <x:row r="11">
      <x:c r="A11" s="7" t="str">
        <x:v>S9</x:v>
      </x:c>
      <x:c r="B11" s="7" t="str">
        <x:v>Pilot Vertical Slice</x:v>
      </x:c>
      <x:c r="C11" s="10" t="n">
        <x:v>46426</x:v>
      </x:c>
      <x:c r="D11" s="10" t="n">
        <x:v>46437</x:v>
      </x:c>
      <x:c r="E11" s="7" t="str">
        <x:v>Departure/Master sign-off + safety event + voice draft</x:v>
      </x:c>
      <x:c r="F11" s="7" t="str">
        <x:v>Master/safety journeys pass</x:v>
      </x:c>
    </x:row>
    <x:row r="12">
      <x:c r="A12" s="7" t="str">
        <x:v>S10</x:v>
      </x:c>
      <x:c r="B12" s="7" t="str">
        <x:v>Pilot Vertical Slice</x:v>
      </x:c>
      <x:c r="C12" s="10" t="n">
        <x:v>46440</x:v>
      </x:c>
      <x:c r="D12" s="10" t="n">
        <x:v>46451</x:v>
      </x:c>
      <x:c r="E12" s="7" t="str">
        <x:v>Audit/data trust/offline/security/performance hardening</x:v>
      </x:c>
      <x:c r="F12" s="7" t="str">
        <x:v>Pre-pilot hardening gates</x:v>
      </x:c>
    </x:row>
    <x:row r="13">
      <x:c r="A13" s="7" t="str">
        <x:v>S11</x:v>
      </x:c>
      <x:c r="B13" s="7" t="str">
        <x:v>Pilot Vertical Slice</x:v>
      </x:c>
      <x:c r="C13" s="10" t="n">
        <x:v>46454</x:v>
      </x:c>
      <x:c r="D13" s="10" t="n">
        <x:v>46465</x:v>
      </x:c>
      <x:c r="E13" s="7" t="str">
        <x:v>Migration/DR/pilot metrics/regulatory/UAT/go-no-go</x:v>
      </x:c>
      <x:c r="F13" s="7" t="str">
        <x:v>Pilot GO</x:v>
      </x:c>
    </x:row>
    <x:row r="14">
      <x:c r="A14" s="7" t="str">
        <x:v>PILOT-W1</x:v>
      </x:c>
      <x:c r="B14" s="7" t="str">
        <x:v>30-Day Design Partner Pilot</x:v>
      </x:c>
      <x:c r="C14" s="10" t="n">
        <x:v>46468</x:v>
      </x:c>
      <x:c r="D14" s="10" t="n">
        <x:v>46472</x:v>
      </x:c>
      <x:c r="E14" s="7" t="str">
        <x:v>Today/Vessel/Certificates/Crew</x:v>
      </x:c>
      <x:c r="F14" s="7" t="str">
        <x:v>Week 1 trace proof</x:v>
      </x:c>
    </x:row>
    <x:row r="15">
      <x:c r="A15" s="7" t="str">
        <x:v>PILOT-W2</x:v>
      </x:c>
      <x:c r="B15" s="7" t="str">
        <x:v>30-Day Design Partner Pilot</x:v>
      </x:c>
      <x:c r="C15" s="10" t="n">
        <x:v>46475</x:v>
      </x:c>
      <x:c r="D15" s="10" t="n">
        <x:v>46479</x:v>
      </x:c>
      <x:c r="E15" s="7" t="str">
        <x:v>PMS/Defect/Departure/Offline</x:v>
      </x:c>
      <x:c r="F15" s="7" t="str">
        <x:v>Week 2 onboard proof</x:v>
      </x:c>
    </x:row>
    <x:row r="16">
      <x:c r="A16" s="7" t="str">
        <x:v>PILOT-W3</x:v>
      </x:c>
      <x:c r="B16" s="7" t="str">
        <x:v>30-Day Design Partner Pilot</x:v>
      </x:c>
      <x:c r="C16" s="10" t="n">
        <x:v>46482</x:v>
      </x:c>
      <x:c r="D16" s="10" t="n">
        <x:v>46486</x:v>
      </x:c>
      <x:c r="E16" s="7" t="str">
        <x:v>Safety/Event/Evidence/AI</x:v>
      </x:c>
      <x:c r="F16" s="7" t="str">
        <x:v>Week 3 audit/AI proof</x:v>
      </x:c>
    </x:row>
    <x:row r="17">
      <x:c r="A17" s="7" t="str">
        <x:v>PILOT-W4</x:v>
      </x:c>
      <x:c r="B17" s="7" t="str">
        <x:v>30-Day Design Partner Pilot</x:v>
      </x:c>
      <x:c r="C17" s="10" t="n">
        <x:v>46489</x:v>
      </x:c>
      <x:c r="D17" s="10" t="n">
        <x:v>46493</x:v>
      </x:c>
      <x:c r="E17" s="7" t="str">
        <x:v>Assurance/UAT/Value Readout</x:v>
      </x:c>
      <x:c r="F17" s="7" t="str">
        <x:v>Go/No-Go/Expand</x:v>
      </x:c>
    </x:row>
    <x:row r="18">
      <x:c r="C18" s="11"/>
      <x:c r="D18" s="11"/>
    </x:row>
    <x:row r="19">
      <x:c r="C19" s="11"/>
      <x:c r="D19" s="11"/>
    </x:row>
    <x:row r="20">
      <x:c r="C20" s="11"/>
      <x:c r="D20" s="11"/>
    </x:row>
    <x:row r="21">
      <x:c r="C21" s="11"/>
      <x:c r="D21" s="11"/>
    </x:row>
    <x:row r="22">
      <x:c r="C22" s="11"/>
      <x:c r="D22" s="11"/>
    </x:row>
    <x:row r="23">
      <x:c r="C23" s="11"/>
      <x:c r="D23" s="11"/>
    </x:row>
    <x:row r="24">
      <x:c r="C24" s="11"/>
      <x:c r="D24" s="11"/>
    </x:row>
    <x:row r="25">
      <x:c r="C25" s="11"/>
      <x:c r="D25" s="11"/>
    </x:row>
    <x:row r="26">
      <x:c r="C26" s="11"/>
      <x:c r="D26" s="11"/>
    </x:row>
    <x:row r="27">
      <x:c r="C27" s="11"/>
      <x:c r="D27" s="11"/>
    </x:row>
    <x:row r="28">
      <x:c r="C28" s="11"/>
      <x:c r="D28" s="11"/>
    </x:row>
    <x:row r="29">
      <x:c r="C29" s="11"/>
      <x:c r="D29" s="11"/>
    </x:row>
    <x:row r="30">
      <x:c r="C30" s="11"/>
      <x:c r="D30" s="1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6" hidden="0" customWidth="1"/>
    <x:col min="4" max="4" width="18" hidden="0" customWidth="1"/>
    <x:col min="5" max="5" width="12" hidden="0" customWidth="1"/>
  </x:cols>
  <x:sheetData>
    <x:row r="1">
      <x:c r="A1" s="15" t="str">
        <x:v>POSEIDON v46.2 — GEMİ + RÖMORKÖR Development Dashboard</x:v>
      </x:c>
      <x:c r="B1" s="15"/>
      <x:c r="C1" s="15"/>
      <x:c r="D1" s="15"/>
      <x:c r="E1" s="15"/>
      <x:c r="F1" s="15"/>
      <x:c r="G1" s="15"/>
      <x:c r="H1" s="15"/>
    </x:row>
    <x:row r="3">
      <x:c r="A3" s="22" t="str">
        <x:v>Metric</x:v>
      </x:c>
      <x:c r="B3" s="22" t="str">
        <x:v>Value</x:v>
      </x:c>
      <x:c r="D3" s="19" t="str">
        <x:v>Sprint</x:v>
      </x:c>
      <x:c r="E3" s="19" t="str">
        <x:v>Items</x:v>
      </x:c>
    </x:row>
    <x:row r="4">
      <x:c r="A4" s="7" t="str">
        <x:v>Total backlog</x:v>
      </x:c>
      <x:c r="B4" s="7" t="n">
        <x:f>COUNTA(Backlog!A2:A97)</x:f>
        <x:v>96</x:v>
      </x:c>
      <x:c r="D4" t="str">
        <x:v>S0</x:v>
      </x:c>
      <x:c r="E4" t="n">
        <x:f>COUNTIF(Backlog!J2:J80,D4)</x:f>
        <x:v>12</x:v>
      </x:c>
    </x:row>
    <x:row r="5">
      <x:c r="A5" s="7" t="str">
        <x:v>P0 items</x:v>
      </x:c>
      <x:c r="B5" s="7" t="n">
        <x:f>COUNTIF(Backlog!I2:I97,"P0")</x:f>
        <x:v>87</x:v>
      </x:c>
      <x:c r="D5" t="str">
        <x:v>S1</x:v>
      </x:c>
      <x:c r="E5" t="n">
        <x:f>COUNTIF(Backlog!J2:J80,D5)</x:f>
        <x:v>7</x:v>
      </x:c>
    </x:row>
    <x:row r="6">
      <x:c r="A6" s="7" t="str">
        <x:v>Pilot-gate items</x:v>
      </x:c>
      <x:c r="B6" s="7" t="n">
        <x:f>COUNTIF(Backlog!O2:O97,"YES")</x:f>
        <x:v>95</x:v>
      </x:c>
      <x:c r="D6" t="str">
        <x:v>S2</x:v>
      </x:c>
      <x:c r="E6" t="n">
        <x:f>COUNTIF(Backlog!J2:J80,D6)</x:f>
        <x:v>6</x:v>
      </x:c>
    </x:row>
    <x:row r="7">
      <x:c r="A7" s="7" t="str">
        <x:v>Total story points</x:v>
      </x:c>
      <x:c r="B7" s="7" t="n">
        <x:f>SUM(Backlog!P2:P97)</x:f>
        <x:v>760</x:v>
      </x:c>
      <x:c r="D7" t="str">
        <x:v>S3</x:v>
      </x:c>
      <x:c r="E7" t="n">
        <x:f>COUNTIF(Backlog!J2:J80,D7)</x:f>
        <x:v>7</x:v>
      </x:c>
    </x:row>
    <x:row r="8">
      <x:c r="A8" s="7" t="str">
        <x:v>Done items</x:v>
      </x:c>
      <x:c r="B8" s="7" t="n">
        <x:f>COUNTIF(Backlog!N2:N97,"Done")</x:f>
        <x:v>0</x:v>
      </x:c>
      <x:c r="D8" t="str">
        <x:v>S4</x:v>
      </x:c>
      <x:c r="E8" t="n">
        <x:f>COUNTIF(Backlog!J2:J80,D8)</x:f>
        <x:v>6</x:v>
      </x:c>
    </x:row>
    <x:row r="9">
      <x:c r="D9" t="str">
        <x:v>S5</x:v>
      </x:c>
      <x:c r="E9" t="n">
        <x:f>COUNTIF(Backlog!J2:J80,D9)</x:f>
        <x:v>4</x:v>
      </x:c>
    </x:row>
    <x:row r="10">
      <x:c r="D10" t="str">
        <x:v>S6</x:v>
      </x:c>
      <x:c r="E10" t="n">
        <x:f>COUNTIF(Backlog!J2:J80,D10)</x:f>
        <x:v>4</x:v>
      </x:c>
    </x:row>
    <x:row r="11">
      <x:c r="D11" t="str">
        <x:v>S7</x:v>
      </x:c>
      <x:c r="E11" t="n">
        <x:f>COUNTIF(Backlog!J2:J80,D11)</x:f>
        <x:v>5</x:v>
      </x:c>
    </x:row>
    <x:row r="12">
      <x:c r="D12" t="str">
        <x:v>S8</x:v>
      </x:c>
      <x:c r="E12" t="n">
        <x:f>COUNTIF(Backlog!J2:J80,D12)</x:f>
        <x:v>6</x:v>
      </x:c>
    </x:row>
    <x:row r="13">
      <x:c r="D13" t="str">
        <x:v>S9</x:v>
      </x:c>
      <x:c r="E13" t="n">
        <x:f>COUNTIF(Backlog!J2:J80,D13)</x:f>
        <x:v>6</x:v>
      </x:c>
    </x:row>
    <x:row r="14">
      <x:c r="D14" t="str">
        <x:v>S10</x:v>
      </x:c>
      <x:c r="E14" t="n">
        <x:f>COUNTIF(Backlog!J2:J80,D14)</x:f>
        <x:v>5</x:v>
      </x:c>
    </x:row>
    <x:row r="15">
      <x:c r="D15" t="str">
        <x:v>S11</x:v>
      </x:c>
      <x:c r="E15" t="n">
        <x:f>COUNTIF(Backlog!J2:J80,D15)</x:f>
        <x:v>7</x:v>
      </x:c>
    </x:row>
    <x:row r="16">
      <x:c r="D16" t="str">
        <x:v>PILOT-W1</x:v>
      </x:c>
      <x:c r="E16" t="n">
        <x:f>COUNTIF(Backlog!J2:J80,D16)</x:f>
        <x:v>1</x:v>
      </x:c>
    </x:row>
    <x:row r="17">
      <x:c r="D17" t="str">
        <x:v>PILOT-W2</x:v>
      </x:c>
      <x:c r="E17" t="n">
        <x:f>COUNTIF(Backlog!J2:J80,D17)</x:f>
        <x:v>1</x:v>
      </x:c>
    </x:row>
    <x:row r="18">
      <x:c r="D18" t="str">
        <x:v>PILOT-W3</x:v>
      </x:c>
      <x:c r="E18" t="n">
        <x:f>COUNTIF(Backlog!J2:J80,D18)</x:f>
        <x:v>1</x:v>
      </x:c>
    </x:row>
    <x:row r="19">
      <x:c r="D19" t="str">
        <x:v>PILOT-W4</x:v>
      </x:c>
      <x:c r="E19" t="n">
        <x:f>COUNTIF(Backlog!J2:J80,D19)</x:f>
        <x:v>1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b9b851a2951f443b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10" hidden="0" customWidth="1"/>
  </x:cols>
  <x:sheetData>
    <x:row r="1">
      <x:c r="A1" s="6" t="str">
        <x:v>Section</x:v>
      </x:c>
      <x:c r="B1" s="6" t="str">
        <x:v>Rule</x:v>
      </x:c>
    </x:row>
    <x:row r="2">
      <x:c r="A2" s="7" t="str">
        <x:v>Definition of Ready</x:v>
      </x:c>
      <x:c r="B2" s="7" t="str">
        <x:v>User/business outcome clear; role/context defined; acceptance criteria testable; design state identified; screen/API/entity/trace known; security/offline/regulatory impact assessed; dependencies resolved.</x:v>
      </x:c>
    </x:row>
    <x:row r="3">
      <x:c r="A3" s="7" t="str">
        <x:v>Definition of Done</x:v>
      </x:c>
      <x:c r="B3" s="7" t="str">
        <x:v>Acceptance passed; code review; automated tests; design conformance; authorization/audit verified; offline covered where relevant; trace/regulatory impact updated; docs current; no unresolved critical/high issue in release scope.</x:v>
      </x:c>
    </x:row>
    <x:row r="4">
      <x:c r="A4" s="7" t="str">
        <x:v>Pilot Gate</x:v>
      </x:c>
      <x:c r="B4" s="7" t="str">
        <x:v>Security, tenant isolation, regulatory SME review, offline chaos, DR restore, UAT, data reconciliation, traceability and support readiness PASS.</x:v>
      </x:c>
    </x:row>
    <x:row r="5">
      <x:c r="A5" s="7" t="str">
        <x:v>Production Gate</x:v>
      </x:c>
      <x:c r="B5" s="7" t="str">
        <x:v>All critical E2E PASS; tenant leakage 0; critical audit coverage 100%; backup/restore and security tests pass; no autonomous high-risk AI decision; regulatory source ownership current.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>
      <x:c r="A1" s="6" t="str">
        <x:v>Workstream</x:v>
      </x:c>
      <x:c r="B1" s="6" t="str">
        <x:v>PO</x:v>
      </x:c>
      <x:c r="C1" s="6" t="str">
        <x:v>BA</x:v>
      </x:c>
      <x:c r="D1" s="6" t="str">
        <x:v>Architect</x:v>
      </x:c>
      <x:c r="E1" s="6" t="str">
        <x:v>Backend</x:v>
      </x:c>
      <x:c r="F1" s="6" t="str">
        <x:v>Frontend</x:v>
      </x:c>
      <x:c r="G1" s="6" t="str">
        <x:v>QA</x:v>
      </x:c>
      <x:c r="H1" s="6" t="str">
        <x:v>DevOps</x:v>
      </x:c>
      <x:c r="I1" s="6" t="str">
        <x:v>Regulatory SME</x:v>
      </x:c>
      <x:c r="J1" s="6" t="str">
        <x:v>UX</x:v>
      </x:c>
      <x:c r="K1" s="6" t="str">
        <x:v>Pilot Customer</x:v>
      </x:c>
    </x:row>
    <x:row r="2">
      <x:c r="A2" s="7" t="str">
        <x:v>Scope / Priority</x:v>
      </x:c>
      <x:c r="B2" s="7" t="str">
        <x:v>A</x:v>
      </x:c>
      <x:c r="C2" s="7" t="str">
        <x:v>R</x:v>
      </x:c>
      <x:c r="D2" s="7" t="str">
        <x:v>C</x:v>
      </x:c>
      <x:c r="E2" s="7" t="str">
        <x:v>I</x:v>
      </x:c>
      <x:c r="F2" s="7" t="str">
        <x:v>I</x:v>
      </x:c>
      <x:c r="G2" s="7" t="str">
        <x:v>C</x:v>
      </x:c>
      <x:c r="H2" s="7" t="str">
        <x:v>I</x:v>
      </x:c>
      <x:c r="I2" s="7" t="str">
        <x:v>C</x:v>
      </x:c>
      <x:c r="J2" s="7" t="str">
        <x:v>C</x:v>
      </x:c>
      <x:c r="K2" s="7" t="str">
        <x:v>C</x:v>
      </x:c>
    </x:row>
    <x:row r="3">
      <x:c r="A3" s="7" t="str">
        <x:v>Architecture / ADR</x:v>
      </x:c>
      <x:c r="B3" s="7" t="str">
        <x:v>C</x:v>
      </x:c>
      <x:c r="C3" s="7" t="str">
        <x:v>I</x:v>
      </x:c>
      <x:c r="D3" s="7" t="str">
        <x:v>A/R</x:v>
      </x:c>
      <x:c r="E3" s="7" t="str">
        <x:v>C</x:v>
      </x:c>
      <x:c r="F3" s="7" t="str">
        <x:v>C</x:v>
      </x:c>
      <x:c r="G3" s="7" t="str">
        <x:v>C</x:v>
      </x:c>
      <x:c r="H3" s="7" t="str">
        <x:v>C</x:v>
      </x:c>
      <x:c r="I3" s="7" t="str">
        <x:v>I</x:v>
      </x:c>
      <x:c r="J3" s="7" t="str">
        <x:v>I</x:v>
      </x:c>
      <x:c r="K3" s="7" t="str">
        <x:v>I</x:v>
      </x:c>
    </x:row>
    <x:row r="4">
      <x:c r="A4" s="7" t="str">
        <x:v>Regulatory applicability</x:v>
      </x:c>
      <x:c r="B4" s="7" t="str">
        <x:v>A</x:v>
      </x:c>
      <x:c r="C4" s="7" t="str">
        <x:v>R</x:v>
      </x:c>
      <x:c r="D4" s="7" t="str">
        <x:v>C</x:v>
      </x:c>
      <x:c r="E4" s="7" t="str">
        <x:v>I</x:v>
      </x:c>
      <x:c r="F4" s="7" t="str">
        <x:v>I</x:v>
      </x:c>
      <x:c r="G4" s="7" t="str">
        <x:v>C</x:v>
      </x:c>
      <x:c r="H4" s="7" t="str">
        <x:v>I</x:v>
      </x:c>
      <x:c r="I4" s="7" t="str">
        <x:v>A/R</x:v>
      </x:c>
      <x:c r="J4" s="7" t="str">
        <x:v>I</x:v>
      </x:c>
      <x:c r="K4" s="7" t="str">
        <x:v>C</x:v>
      </x:c>
    </x:row>
    <x:row r="5">
      <x:c r="A5" s="7" t="str">
        <x:v>Security / tenancy</x:v>
      </x:c>
      <x:c r="B5" s="7" t="str">
        <x:v>I</x:v>
      </x:c>
      <x:c r="C5" s="7" t="str">
        <x:v>I</x:v>
      </x:c>
      <x:c r="D5" s="7" t="str">
        <x:v>A</x:v>
      </x:c>
      <x:c r="E5" s="7" t="str">
        <x:v>R</x:v>
      </x:c>
      <x:c r="F5" s="7" t="str">
        <x:v>C</x:v>
      </x:c>
      <x:c r="G5" s="7" t="str">
        <x:v>C</x:v>
      </x:c>
      <x:c r="H5" s="7" t="str">
        <x:v>R</x:v>
      </x:c>
      <x:c r="I5" s="7" t="str">
        <x:v>I</x:v>
      </x:c>
      <x:c r="J5" s="7" t="str">
        <x:v>I</x:v>
      </x:c>
      <x:c r="K5" s="7" t="str">
        <x:v>I</x:v>
      </x:c>
    </x:row>
    <x:row r="6">
      <x:c r="A6" s="7" t="str">
        <x:v>UX / role journeys</x:v>
      </x:c>
      <x:c r="B6" s="7" t="str">
        <x:v>A</x:v>
      </x:c>
      <x:c r="C6" s="7" t="str">
        <x:v>C</x:v>
      </x:c>
      <x:c r="D6" s="7" t="str">
        <x:v>C</x:v>
      </x:c>
      <x:c r="E6" s="7" t="str">
        <x:v>C</x:v>
      </x:c>
      <x:c r="F6" s="7" t="str">
        <x:v>R</x:v>
      </x:c>
      <x:c r="G6" s="7" t="str">
        <x:v>C</x:v>
      </x:c>
      <x:c r="H6" s="7" t="str">
        <x:v>I</x:v>
      </x:c>
      <x:c r="I6" s="7" t="str">
        <x:v>I</x:v>
      </x:c>
      <x:c r="J6" s="7" t="str">
        <x:v>A/R</x:v>
      </x:c>
      <x:c r="K6" s="7" t="str">
        <x:v>C</x:v>
      </x:c>
    </x:row>
    <x:row r="7">
      <x:c r="A7" s="7" t="str">
        <x:v>Offline / sync</x:v>
      </x:c>
      <x:c r="B7" s="7" t="str">
        <x:v>C</x:v>
      </x:c>
      <x:c r="C7" s="7" t="str">
        <x:v>C</x:v>
      </x:c>
      <x:c r="D7" s="7" t="str">
        <x:v>A</x:v>
      </x:c>
      <x:c r="E7" s="7" t="str">
        <x:v>R</x:v>
      </x:c>
      <x:c r="F7" s="7" t="str">
        <x:v>R</x:v>
      </x:c>
      <x:c r="G7" s="7" t="str">
        <x:v>R</x:v>
      </x:c>
      <x:c r="H7" s="7" t="str">
        <x:v>C</x:v>
      </x:c>
      <x:c r="I7" s="7" t="str">
        <x:v>I</x:v>
      </x:c>
      <x:c r="J7" s="7" t="str">
        <x:v>C</x:v>
      </x:c>
      <x:c r="K7" s="7" t="str">
        <x:v>C</x:v>
      </x:c>
    </x:row>
    <x:row r="8">
      <x:c r="A8" s="7" t="str">
        <x:v>Pilot data migration</x:v>
      </x:c>
      <x:c r="B8" s="7" t="str">
        <x:v>A</x:v>
      </x:c>
      <x:c r="C8" s="7" t="str">
        <x:v>R</x:v>
      </x:c>
      <x:c r="D8" s="7" t="str">
        <x:v>C</x:v>
      </x:c>
      <x:c r="E8" s="7" t="str">
        <x:v>R</x:v>
      </x:c>
      <x:c r="F8" s="7" t="str">
        <x:v>I</x:v>
      </x:c>
      <x:c r="G8" s="7" t="str">
        <x:v>R</x:v>
      </x:c>
      <x:c r="H8" s="7" t="str">
        <x:v>C</x:v>
      </x:c>
      <x:c r="I8" s="7" t="str">
        <x:v>C</x:v>
      </x:c>
      <x:c r="J8" s="7" t="str">
        <x:v>I</x:v>
      </x:c>
      <x:c r="K8" s="7" t="str">
        <x:v>C</x:v>
      </x:c>
    </x:row>
    <x:row r="9">
      <x:c r="A9" s="7" t="str">
        <x:v>UAT / Pilot</x:v>
      </x:c>
      <x:c r="B9" s="7" t="str">
        <x:v>A</x:v>
      </x:c>
      <x:c r="C9" s="7" t="str">
        <x:v>R</x:v>
      </x:c>
      <x:c r="D9" s="7" t="str">
        <x:v>C</x:v>
      </x:c>
      <x:c r="E9" s="7" t="str">
        <x:v>C</x:v>
      </x:c>
      <x:c r="F9" s="7" t="str">
        <x:v>C</x:v>
      </x:c>
      <x:c r="G9" s="7" t="str">
        <x:v>A/R</x:v>
      </x:c>
      <x:c r="H9" s="7" t="str">
        <x:v>C</x:v>
      </x:c>
      <x:c r="I9" s="7" t="str">
        <x:v>C</x:v>
      </x:c>
      <x:c r="J9" s="7" t="str">
        <x:v>R</x:v>
      </x:c>
      <x:c r="K9" s="7" t="str">
        <x:v>R</x:v>
      </x:c>
    </x:row>
    <x:row r="10">
      <x:c r="A10" s="7" t="str">
        <x:v>Release gate</x:v>
      </x:c>
      <x:c r="B10" s="7" t="str">
        <x:v>A</x:v>
      </x:c>
      <x:c r="C10" s="7" t="str">
        <x:v>C</x:v>
      </x:c>
      <x:c r="D10" s="7" t="str">
        <x:v>C</x:v>
      </x:c>
      <x:c r="E10" s="7" t="str">
        <x:v>C</x:v>
      </x:c>
      <x:c r="F10" s="7" t="str">
        <x:v>C</x:v>
      </x:c>
      <x:c r="G10" s="7" t="str">
        <x:v>R</x:v>
      </x:c>
      <x:c r="H10" s="7" t="str">
        <x:v>R</x:v>
      </x:c>
      <x:c r="I10" s="7" t="str">
        <x:v>C</x:v>
      </x:c>
      <x:c r="J10" s="7" t="str">
        <x:v>C</x:v>
      </x:c>
      <x:c r="K10" s="7" t="str">
        <x:v>I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55" hidden="0" customWidth="1"/>
    <x:col min="4" max="4" width="12" hidden="0" customWidth="1"/>
    <x:col min="5" max="5" width="72" hidden="0" customWidth="1"/>
    <x:col min="6" max="6" width="20" hidden="0" customWidth="1"/>
    <x:col min="7" max="7" width="16" hidden="0" customWidth="1"/>
  </x:cols>
  <x:sheetData>
    <x:row r="1">
      <x:c r="A1" s="6" t="str">
        <x:v>ID</x:v>
      </x:c>
      <x:c r="B1" s="6" t="str">
        <x:v>Type</x:v>
      </x:c>
      <x:c r="C1" s="6" t="str">
        <x:v>Description</x:v>
      </x:c>
      <x:c r="D1" s="6" t="str">
        <x:v>Impact</x:v>
      </x:c>
      <x:c r="E1" s="6" t="str">
        <x:v>Mitigation / Decision</x:v>
      </x:c>
      <x:c r="F1" s="6" t="str">
        <x:v>Owner</x:v>
      </x:c>
      <x:c r="G1" s="6" t="str">
        <x:v>Status</x:v>
      </x:c>
    </x:row>
    <x:row r="2">
      <x:c r="A2" s="7" t="str">
        <x:v>R-01</x:v>
      </x:c>
      <x:c r="B2" s="7" t="str">
        <x:v>Risk</x:v>
      </x:c>
      <x:c r="C2" s="7" t="str">
        <x:v>Authoritative regulatory interpretation remains incomplete for some instruments/flag/class overlays</x:v>
      </x:c>
      <x:c r="D2" s="7" t="str">
        <x:v>High</x:v>
      </x:c>
      <x:c r="E2" s="7" t="str">
        <x:v>Regulatory source register + SME/flag/class review; ambiguity stays REVIEW_REQUIRED</x:v>
      </x:c>
      <x:c r="F2" s="7" t="str">
        <x:v>Regulatory Lead</x:v>
      </x:c>
      <x:c r="G2" s="7" t="str">
        <x:v>Open</x:v>
      </x:c>
    </x:row>
    <x:row r="3">
      <x:c r="A3" s="7" t="str">
        <x:v>R-02</x:v>
      </x:c>
      <x:c r="B3" s="7" t="str">
        <x:v>Risk</x:v>
      </x:c>
      <x:c r="C3" s="7" t="str">
        <x:v>Scope expands beyond pilot vertical slice</x:v>
      </x:c>
      <x:c r="D3" s="7" t="str">
        <x:v>High</x:v>
      </x:c>
      <x:c r="E3" s="7" t="str">
        <x:v>No new generic module without validated pilot journey; CR approval required</x:v>
      </x:c>
      <x:c r="F3" s="7" t="str">
        <x:v>Product Owner</x:v>
      </x:c>
      <x:c r="G3" s="7" t="str">
        <x:v>Open</x:v>
      </x:c>
    </x:row>
    <x:row r="4">
      <x:c r="A4" s="7" t="str">
        <x:v>R-03</x:v>
      </x:c>
      <x:c r="B4" s="7" t="str">
        <x:v>Risk</x:v>
      </x:c>
      <x:c r="C4" s="7" t="str">
        <x:v>Offline conflicts corrupt material shipboard records</x:v>
      </x:c>
      <x:c r="D4" s="7" t="str">
        <x:v>High</x:v>
      </x:c>
      <x:c r="E4" s="7" t="str">
        <x:v>Durable queue + idempotency + versioning + explicit human conflict resolution</x:v>
      </x:c>
      <x:c r="F4" s="7" t="str">
        <x:v>Architect</x:v>
      </x:c>
      <x:c r="G4" s="7" t="str">
        <x:v>Open</x:v>
      </x:c>
    </x:row>
    <x:row r="5">
      <x:c r="A5" s="7" t="str">
        <x:v>R-04</x:v>
      </x:c>
      <x:c r="B5" s="7" t="str">
        <x:v>Risk</x:v>
      </x:c>
      <x:c r="C5" s="7" t="str">
        <x:v>AI extraction/draft produces unsupported facts</x:v>
      </x:c>
      <x:c r="D5" s="7" t="str">
        <x:v>High</x:v>
      </x:c>
      <x:c r="E5" s="7" t="str">
        <x:v>Source trace/confidence/user confirmation/golden-set evaluation; no autonomous submission</x:v>
      </x:c>
      <x:c r="F5" s="7" t="str">
        <x:v>AI Lead</x:v>
      </x:c>
      <x:c r="G5" s="7" t="str">
        <x:v>Open</x:v>
      </x:c>
    </x:row>
    <x:row r="6">
      <x:c r="A6" s="7" t="str">
        <x:v>R-05</x:v>
      </x:c>
      <x:c r="B6" s="7" t="str">
        <x:v>Risk</x:v>
      </x:c>
      <x:c r="C6" s="7" t="str">
        <x:v>Tenant data leakage</x:v>
      </x:c>
      <x:c r="D6" s="7" t="str">
        <x:v>Critical</x:v>
      </x:c>
      <x:c r="E6" s="7" t="str">
        <x:v>Server-side authorization + automated cross-tenant regression + pre-pilot security gate</x:v>
      </x:c>
      <x:c r="F6" s="7" t="str">
        <x:v>Security</x:v>
      </x:c>
      <x:c r="G6" s="7" t="str">
        <x:v>Open</x:v>
      </x:c>
    </x:row>
    <x:row r="7">
      <x:c r="A7" s="7" t="str">
        <x:v>R-06</x:v>
      </x:c>
      <x:c r="B7" s="7" t="str">
        <x:v>Risk</x:v>
      </x:c>
      <x:c r="C7" s="7" t="str">
        <x:v>Pilot data import quality is poor</x:v>
      </x:c>
      <x:c r="D7" s="7" t="str">
        <x:v>Medium</x:v>
      </x:c>
      <x:c r="E7" s="7" t="str">
        <x:v>Validation/reject/reconciliation report and customer sign-off</x:v>
      </x:c>
      <x:c r="F7" s="7" t="str">
        <x:v>Implementation</x:v>
      </x:c>
      <x:c r="G7" s="7" t="str">
        <x:v>Open</x:v>
      </x:c>
    </x:row>
    <x:row r="8">
      <x:c r="A8" s="7" t="str">
        <x:v>A-01</x:v>
      </x:c>
      <x:c r="B8" s="7" t="str">
        <x:v>Assumption</x:v>
      </x:c>
      <x:c r="C8" s="7" t="str">
        <x:v>Pilot design partner can provide masked real documents and operational users</x:v>
      </x:c>
      <x:c r="D8" s="7" t="str">
        <x:v>High</x:v>
      </x:c>
      <x:c r="E8" s="7" t="str">
        <x:v>Confirm before S6; fallback synthetic golden set only for development, not value proof</x:v>
      </x:c>
      <x:c r="F8" s="7" t="str">
        <x:v>Product Owner</x:v>
      </x:c>
      <x:c r="G8" s="7" t="str">
        <x:v>To Confirm</x:v>
      </x:c>
    </x:row>
    <x:row r="9">
      <x:c r="A9" s="7" t="str">
        <x:v>D-01</x:v>
      </x:c>
      <x:c r="B9" s="7" t="str">
        <x:v>Decision</x:v>
      </x:c>
      <x:c r="C9" s="7" t="str">
        <x:v>Architecture remains modular-monolith-first</x:v>
      </x:c>
      <x:c r="D9" s="7" t="str">
        <x:v>Medium</x:v>
      </x:c>
      <x:c r="E9" s="7" t="str">
        <x:v>Avoid premature distributed complexity; split only with proven scale/operational need</x:v>
      </x:c>
      <x:c r="F9" s="7" t="str">
        <x:v>Architect</x:v>
      </x:c>
      <x:c r="G9" s="7" t="str">
        <x:v>Accepted</x:v>
      </x:c>
    </x:row>
    <x:row r="10">
      <x:c r="A10" s="7" t="str">
        <x:v>D-02</x:v>
      </x:c>
      <x:c r="B10" s="7" t="str">
        <x:v>Decision</x:v>
      </x:c>
      <x:c r="C10" s="7" t="str">
        <x:v>172 screens are capability depth, not navigation depth</x:v>
      </x:c>
      <x:c r="D10" s="7" t="str">
        <x:v>High</x:v>
      </x:c>
      <x:c r="E10" s="7" t="str">
        <x:v>Role-first Today + contextual menus; full screen search only for authorized power users</x:v>
      </x:c>
      <x:c r="F10" s="7" t="str">
        <x:v>PO/UX</x:v>
      </x:c>
      <x:c r="G10" s="7" t="str">
        <x:v>Accepted</x:v>
      </x:c>
    </x:row>
    <x:row r="11">
      <x:c r="A11" s="7" t="str">
        <x:v>D-03</x:v>
      </x:c>
      <x:c r="B11" s="7" t="str">
        <x:v>Decision</x:v>
      </x:c>
      <x:c r="C11" s="7" t="str">
        <x:v>Readiness uses categorical state, not one averaged safety score</x:v>
      </x:c>
      <x:c r="D11" s="7" t="str">
        <x:v>High</x:v>
      </x:c>
      <x:c r="E11" s="7" t="str">
        <x:v>READY/CONDITIONAL/NOT_READY/REVIEW_REQUIRED + evidence completeness as secondary metric</x:v>
      </x:c>
      <x:c r="F11" s="7" t="str">
        <x:v>PO/Regulatory</x:v>
      </x:c>
      <x:c r="G11" s="7" t="str">
        <x:v>Accepted</x:v>
      </x:c>
    </x:row>
    <x:row r="12">
      <x:c r="A12" t="str">
        <x:v>D-04</x:v>
      </x:c>
      <x:c r="B12" t="str">
        <x:v>Decision</x:v>
      </x:c>
      <x:c r="C12" t="str">
        <x:v>Primary product scope is Gemi + Römorkör</x:v>
      </x:c>
      <x:c r="D12" t="str">
        <x:v>High</x:v>
      </x:c>
      <x:c r="E12" t="str">
        <x:v>Fleet/company remains management context; Tug Mode is first-class, not profile-only</x:v>
      </x:c>
      <x:c r="F12" t="str">
        <x:v>PO</x:v>
      </x:c>
      <x:c r="G12" t="str">
        <x:v>Accepted</x:v>
      </x:c>
    </x:row>
    <x:row r="13">
      <x:c r="A13" t="str">
        <x:v>D-05</x:v>
      </x:c>
      <x:c r="B13" t="str">
        <x:v>Decision</x:v>
      </x:c>
      <x:c r="C13" t="str">
        <x:v>Tug-to-job assignment is in scope</x:v>
      </x:c>
      <x:c r="D13" t="str">
        <x:v>High</x:v>
      </x:c>
      <x:c r="E13" t="str">
        <x:v>Port traffic/berth/resource management remains out</x:v>
      </x:c>
      <x:c r="F13" t="str">
        <x:v>PO/Operations</x:v>
      </x:c>
      <x:c r="G13" t="str">
        <x:v>Accepted</x:v>
      </x:c>
    </x:row>
    <x:row r="14">
      <x:c r="A14" t="str">
        <x:v>R-09</x:v>
      </x:c>
      <x:c r="B14" t="str">
        <x:v>Risk</x:v>
      </x:c>
      <x:c r="C14" t="str">
        <x:v>Tug-specific regulatory sources are not fully validated</x:v>
      </x:c>
      <x:c r="D14" t="str">
        <x:v>High</x:v>
      </x:c>
      <x:c r="E14" t="str">
        <x:v>Source register + flag/class/company/local SME validation; unknown state remains REVIEW_REQUIRED</x:v>
      </x:c>
      <x:c r="F14" t="str">
        <x:v>Regulatory Lead</x:v>
      </x:c>
      <x:c r="G14" t="str">
        <x:v>Open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90" hidden="0" customWidth="1"/>
  </x:cols>
  <x:sheetData>
    <x:row r="1">
      <x:c r="A1" s="28" t="str">
        <x:v>POSEIDON v46.2 Development Scope</x:v>
      </x:c>
      <x:c r="B1" s="28" t="str">
        <x:v>Gemi + Römorkör dual-mode</x:v>
      </x:c>
    </x:row>
    <x:row r="2">
      <x:c r="A2" s="29" t="str">
        <x:v>Primary scope</x:v>
      </x:c>
      <x:c r="B2" s="7" t="str">
        <x:v>Ship management + Tug operations/safety management</x:v>
      </x:c>
    </x:row>
    <x:row r="3">
      <x:c r="A3" s="29" t="str">
        <x:v>Fleet/company</x:v>
      </x:c>
      <x:c r="B3" s="7" t="str">
        <x:v>Management context only</x:v>
      </x:c>
    </x:row>
    <x:row r="4">
      <x:c r="A4" s="29" t="str">
        <x:v>Port boundary</x:v>
      </x:c>
      <x:c r="B4" s="7" t="str">
        <x:v>No port/terminal/berth/port-traffic management</x:v>
      </x:c>
    </x:row>
    <x:row r="5">
      <x:c r="A5" s="29" t="str">
        <x:v>Tug included</x:v>
      </x:c>
      <x:c r="B5" s="7" t="str">
        <x:v>Job intake, job board, own tug assignment, readiness, towage plan/risk, execution, equipment/crew, log/history</x:v>
      </x:c>
    </x:row>
    <x:row r="6">
      <x:c r="A6" s="29" t="str">
        <x:v>Pilot</x:v>
      </x:c>
      <x:c r="B6" s="7" t="str">
        <x:v>Minimum one ship + one tug / mixed operator</x:v>
      </x:c>
    </x:row>
    <x:row r="7">
      <x:c r="A7" s="29" t="str">
        <x:v>Controlled screens</x:v>
      </x:c>
      <x:c r="B7" s="7" t="n">
        <x:v>185</x:v>
      </x:c>
    </x:row>
    <x:row r="8">
      <x:c r="A8" s="29" t="str">
        <x:v>Field contracts</x:v>
      </x:c>
      <x:c r="B8" s="7" t="n">
        <x:v>2126</x:v>
      </x:c>
    </x:row>
    <x:row r="9">
      <x:c r="A9" s="29"/>
      <x:c r="B9" s="7"/>
    </x:row>
    <x:row r="10">
      <x:c r="A10" s="29"/>
      <x:c r="B10" s="7"/>
    </x:row>
    <x:row r="11">
      <x:c r="A11" s="29"/>
      <x:c r="B11" s="7"/>
    </x:row>
    <x:row r="12">
      <x:c r="A12" s="29"/>
      <x:c r="B12" s="7"/>
    </x:row>
    <x:row r="13">
      <x:c r="A13" s="29"/>
      <x:c r="B13" s="7"/>
    </x:row>
    <x:row r="14">
      <x:c r="A14" s="29"/>
      <x:c r="B14" s="7"/>
    </x:row>
    <x:row r="15">
      <x:c r="A15" s="29"/>
      <x:c r="B15" s="7"/>
    </x:row>
    <x:row r="16">
      <x:c r="A16" s="29"/>
      <x:c r="B16" s="7"/>
    </x:row>
    <x:row r="17">
      <x:c r="A17" s="29"/>
      <x:c r="B17" s="7"/>
    </x:row>
    <x:row r="18">
      <x:c r="A18" s="29"/>
      <x:c r="B18" s="7"/>
    </x:row>
    <x:row r="19">
      <x:c r="A19" s="29"/>
      <x:c r="B19" s="7"/>
    </x:row>
    <x:row r="20">
      <x:c r="A20" s="29"/>
      <x:c r="B20" s="7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6" hidden="0" customWidth="1"/>
    <x:col min="4" max="4" width="22" hidden="0" customWidth="1"/>
    <x:col min="5" max="5" width="42" hidden="0" customWidth="1"/>
    <x:col min="6" max="6" width="55" hidden="0" customWidth="1"/>
    <x:col min="7" max="7" width="82" hidden="0" customWidth="1"/>
    <x:col min="8" max="8" width="40" hidden="0" customWidth="1"/>
    <x:col min="9" max="9" width="10" hidden="0" customWidth="1"/>
    <x:col min="10" max="10" width="12" hidden="0" customWidth="1"/>
    <x:col min="11" max="11" width="24" hidden="0" customWidth="1"/>
    <x:col min="12" max="12" width="28" hidden="0" customWidth="1"/>
    <x:col min="13" max="13" width="16" hidden="0" customWidth="1"/>
    <x:col min="14" max="14" width="16" hidden="0" customWidth="1"/>
    <x:col min="15" max="15" width="12" hidden="0" customWidth="1"/>
    <x:col min="16" max="16" width="12" hidden="0" customWidth="1"/>
    <x:col min="17" max="17" width="10" hidden="0" customWidth="1"/>
    <x:col min="18" max="18" width="18" hidden="0" customWidth="1"/>
  </x:cols>
  <x:sheetData>
    <x:row r="1">
      <x:c r="A1" s="31" t="str">
        <x:v>ID</x:v>
      </x:c>
      <x:c r="B1" s="31" t="str">
        <x:v>Type</x:v>
      </x:c>
      <x:c r="C1" s="31" t="str">
        <x:v>Epic</x:v>
      </x:c>
      <x:c r="D1" s="31" t="str">
        <x:v>Feature</x:v>
      </x:c>
      <x:c r="E1" s="31" t="str">
        <x:v>Title</x:v>
      </x:c>
      <x:c r="F1" s="31" t="str">
        <x:v>User Story</x:v>
      </x:c>
      <x:c r="G1" s="31" t="str">
        <x:v>Acceptance Criteria</x:v>
      </x:c>
      <x:c r="H1" s="31" t="str">
        <x:v>Screen / API</x:v>
      </x:c>
      <x:c r="I1" s="31" t="str">
        <x:v>Priority</x:v>
      </x:c>
      <x:c r="J1" s="31" t="str">
        <x:v>Sprint</x:v>
      </x:c>
      <x:c r="K1" s="31" t="str">
        <x:v>Owner Role</x:v>
      </x:c>
      <x:c r="L1" s="31" t="str">
        <x:v>Dependencies</x:v>
      </x:c>
      <x:c r="M1" s="31" t="str">
        <x:v>Test Trace</x:v>
      </x:c>
      <x:c r="N1" s="31" t="str">
        <x:v>Status</x:v>
      </x:c>
      <x:c r="O1" s="31" t="str">
        <x:v>Pilot Gate</x:v>
      </x:c>
      <x:c r="P1" s="31" t="str">
        <x:v>Estimate SP</x:v>
      </x:c>
      <x:c r="Q1" s="31" t="str">
        <x:v>Risk</x:v>
      </x:c>
      <x:c r="R1" s="31" t="str">
        <x:v>Notes</x:v>
      </x:c>
    </x:row>
    <x:row r="2">
      <x:c r="A2" s="7" t="str">
        <x:v>DEV-080</x:v>
      </x:c>
      <x:c r="B2" s="7" t="str">
        <x:v>Story</x:v>
      </x:c>
      <x:c r="C2" s="7" t="str">
        <x:v>E21 Tug Operations</x:v>
      </x:c>
      <x:c r="D2" s="7" t="str">
        <x:v>Tug Context</x:v>
      </x:c>
      <x:c r="E2" s="7" t="str">
        <x:v>Römorkör mode context ve profile root</x:v>
      </x:c>
      <x:c r="F2" s="7" t="str">
        <x:v>Römorkör Operasyon Sorumlusu olarak römorkörün operasyonel profile/role contextini görmek istiyorum.</x:v>
      </x:c>
      <x:c r="G2" s="7" t="str">
        <x:v>Tug profile bollard pull/type/equipment context + role lens; Ship Mode screens remain hidden unless cross-mode role.</x:v>
      </x:c>
      <x:c r="H2" s="7" t="str">
        <x:v>tug-command / /api/v1/tug-command</x:v>
      </x:c>
      <x:c r="I2" s="7" t="str">
        <x:v>P0</x:v>
      </x:c>
      <x:c r="J2" s="7" t="str">
        <x:v>S5</x:v>
      </x:c>
      <x:c r="K2" s="7" t="str">
        <x:v>Full Stack</x:v>
      </x:c>
      <x:c r="L2" s="7" t="str">
        <x:v>DEV-020,DEV-022</x:v>
      </x:c>
      <x:c r="M2" s="7" t="str">
        <x:v>T-TUG-001</x:v>
      </x:c>
      <x:c r="N2" s="7" t="str">
        <x:v>Not Started</x:v>
      </x:c>
      <x:c r="O2" s="7" t="str">
        <x:v>YES</x:v>
      </x:c>
      <x:c r="P2" s="7" t="n">
        <x:v>8</x:v>
      </x:c>
      <x:c r="Q2" s="7" t="str">
        <x:v>M</x:v>
      </x:c>
      <x:c r="R2" s="7" t="str">
        <x:v>v46.2</x:v>
      </x:c>
    </x:row>
    <x:row r="3">
      <x:c r="A3" s="7" t="str">
        <x:v>DEV-081</x:v>
      </x:c>
      <x:c r="B3" s="7" t="str">
        <x:v>Story</x:v>
      </x:c>
      <x:c r="C3" s="7" t="str">
        <x:v>E21 Tug Operations</x:v>
      </x:c>
      <x:c r="D3" s="7" t="str">
        <x:v>Job Intake</x:v>
      </x:c>
      <x:c r="E3" s="7" t="str">
        <x:v>Römorkör iş talebi kaydı</x:v>
      </x:c>
      <x:c r="F3" s="7" t="str">
        <x:v>Operasyon sorumlusu olarak yeni römorkaj işini assisted vessel, zaman, alan, BP ve özel gereksinimle açmak istiyorum.</x:v>
      </x:c>
      <x:c r="G3" s="7" t="str">
        <x:v>Job ID; assisted vessel; job type; time window; area; required tug count/BP; priority; owner; audited create.</x:v>
      </x:c>
      <x:c r="H3" s="7" t="str">
        <x:v>tug-job-intake / /api/v1/tug-jobs</x:v>
      </x:c>
      <x:c r="I3" s="7" t="str">
        <x:v>P0</x:v>
      </x:c>
      <x:c r="J3" s="7" t="str">
        <x:v>S6</x:v>
      </x:c>
      <x:c r="K3" s="7" t="str">
        <x:v>Full Stack</x:v>
      </x:c>
      <x:c r="L3" s="7" t="str">
        <x:v>DEV-080</x:v>
      </x:c>
      <x:c r="M3" s="7" t="str">
        <x:v>T-TUG-002</x:v>
      </x:c>
      <x:c r="N3" s="7" t="str">
        <x:v>Not Started</x:v>
      </x:c>
      <x:c r="O3" s="7" t="str">
        <x:v>YES</x:v>
      </x:c>
      <x:c r="P3" s="7" t="n">
        <x:v>8</x:v>
      </x:c>
      <x:c r="Q3" s="7" t="str">
        <x:v>M</x:v>
      </x:c>
      <x:c r="R3" s="7" t="str">
        <x:v>v46.2</x:v>
      </x:c>
    </x:row>
    <x:row r="4">
      <x:c r="A4" s="7" t="str">
        <x:v>DEV-082</x:v>
      </x:c>
      <x:c r="B4" s="7" t="str">
        <x:v>Story</x:v>
      </x:c>
      <x:c r="C4" s="7" t="str">
        <x:v>E21 Tug Operations</x:v>
      </x:c>
      <x:c r="D4" s="7" t="str">
        <x:v>Job Board</x:v>
      </x:c>
      <x:c r="E4" s="7" t="str">
        <x:v>Kısa ve sık römorkör iş panosu</x:v>
      </x:c>
      <x:c r="F4" s="7" t="str">
        <x:v>Operasyon sorumlusu olarak gün içi işleri zaman ve readiness ile görmek istiyorum.</x:v>
      </x:c>
      <x:c r="G4" s="7" t="str">
        <x:v>Job board shows planned window, assigned tugs, BP, readiness, conflict, priority and next action.</x:v>
      </x:c>
      <x:c r="H4" s="7" t="str">
        <x:v>tug-job-board</x:v>
      </x:c>
      <x:c r="I4" s="7" t="str">
        <x:v>P0</x:v>
      </x:c>
      <x:c r="J4" s="7" t="str">
        <x:v>S6</x:v>
      </x:c>
      <x:c r="K4" s="7" t="str">
        <x:v>Frontend+Backend</x:v>
      </x:c>
      <x:c r="L4" s="7" t="str">
        <x:v>DEV-081</x:v>
      </x:c>
      <x:c r="M4" s="7" t="str">
        <x:v>T-TUG-003</x:v>
      </x:c>
      <x:c r="N4" s="7" t="str">
        <x:v>Not Started</x:v>
      </x:c>
      <x:c r="O4" s="7" t="str">
        <x:v>YES</x:v>
      </x:c>
      <x:c r="P4" s="7" t="n">
        <x:v>8</x:v>
      </x:c>
      <x:c r="Q4" s="7" t="str">
        <x:v>M</x:v>
      </x:c>
      <x:c r="R4" s="7" t="str">
        <x:v>v46.2</x:v>
      </x:c>
    </x:row>
    <x:row r="5">
      <x:c r="A5" s="7" t="str">
        <x:v>DEV-083</x:v>
      </x:c>
      <x:c r="B5" s="7" t="str">
        <x:v>Story</x:v>
      </x:c>
      <x:c r="C5" s="7" t="str">
        <x:v>E21 Tug Operations</x:v>
      </x:c>
      <x:c r="D5" s="7" t="str">
        <x:v>Assignment</x:v>
      </x:c>
      <x:c r="E5" s="7" t="str">
        <x:v>Römorkör atama ve çakışma kontrolü</x:v>
      </x:c>
      <x:c r="F5" s="7" t="str">
        <x:v>Operasyon sorumlusu olarak işi uygun römorköre atarken overlap, crew, equipment, PMS ve certificate durumunu görmek istiyorum.</x:v>
      </x:c>
      <x:c r="G5" s="7" t="str">
        <x:v>Assignment checks time overlap + crew/equipment/PMS/cert; shore proposes; Master/Tug Master acknowledgement preserved.</x:v>
      </x:c>
      <x:c r="H5" s="7" t="str">
        <x:v>tug-assignment / /api/v1/tug-assignments</x:v>
      </x:c>
      <x:c r="I5" s="7" t="str">
        <x:v>P0</x:v>
      </x:c>
      <x:c r="J5" s="7" t="str">
        <x:v>S7</x:v>
      </x:c>
      <x:c r="K5" s="7" t="str">
        <x:v>Full Stack</x:v>
      </x:c>
      <x:c r="L5" s="7" t="str">
        <x:v>DEV-050,DEV-055,DEV-082</x:v>
      </x:c>
      <x:c r="M5" s="7" t="str">
        <x:v>T-TUG-004</x:v>
      </x:c>
      <x:c r="N5" s="7" t="str">
        <x:v>Not Started</x:v>
      </x:c>
      <x:c r="O5" s="7" t="str">
        <x:v>YES</x:v>
      </x:c>
      <x:c r="P5" s="7" t="n">
        <x:v>13</x:v>
      </x:c>
      <x:c r="Q5" s="7" t="str">
        <x:v>H</x:v>
      </x:c>
      <x:c r="R5" s="7" t="str">
        <x:v>v46.2</x:v>
      </x:c>
    </x:row>
    <x:row r="6">
      <x:c r="A6" s="7" t="str">
        <x:v>DEV-084</x:v>
      </x:c>
      <x:c r="B6" s="7" t="str">
        <x:v>Story</x:v>
      </x:c>
      <x:c r="C6" s="7" t="str">
        <x:v>E21 Tug Operations</x:v>
      </x:c>
      <x:c r="D6" s="7" t="str">
        <x:v>Readiness</x:v>
      </x:c>
      <x:c r="E6" s="7" t="str">
        <x:v>Römorkör operasyon readiness gate</x:v>
      </x:c>
      <x:c r="F6" s="7" t="str">
        <x:v>Master/Tug Master olarak işe çıkmadan crew, equipment, PMS, certificate, comms, weather ve BP margin görmek istiyorum.</x:v>
      </x:c>
      <x:c r="G6" s="7" t="str">
        <x:v>READY/CONDITIONAL/NOT_READY/REVIEW_REQUIRED; critical blocker cannot be averaged; Master decision and reason retained.</x:v>
      </x:c>
      <x:c r="H6" s="7" t="str">
        <x:v>tug-readiness / /api/v1/tug-readiness</x:v>
      </x:c>
      <x:c r="I6" s="7" t="str">
        <x:v>P0</x:v>
      </x:c>
      <x:c r="J6" s="7" t="str">
        <x:v>S7</x:v>
      </x:c>
      <x:c r="K6" s="7" t="str">
        <x:v>Full Stack</x:v>
      </x:c>
      <x:c r="L6" s="7" t="str">
        <x:v>DEV-083</x:v>
      </x:c>
      <x:c r="M6" s="7" t="str">
        <x:v>T-TUG-005</x:v>
      </x:c>
      <x:c r="N6" s="7" t="str">
        <x:v>Not Started</x:v>
      </x:c>
      <x:c r="O6" s="7" t="str">
        <x:v>YES</x:v>
      </x:c>
      <x:c r="P6" s="7" t="n">
        <x:v>13</x:v>
      </x:c>
      <x:c r="Q6" s="7" t="str">
        <x:v>H</x:v>
      </x:c>
      <x:c r="R6" s="7" t="str">
        <x:v>v46.2</x:v>
      </x:c>
    </x:row>
    <x:row r="7">
      <x:c r="A7" s="7" t="str">
        <x:v>DEV-085</x:v>
      </x:c>
      <x:c r="B7" s="7" t="str">
        <x:v>Story</x:v>
      </x:c>
      <x:c r="C7" s="7" t="str">
        <x:v>E21 Tug Operations</x:v>
      </x:c>
      <x:c r="D7" s="7" t="str">
        <x:v>Equipment Readiness</x:v>
      </x:c>
      <x:c r="E7" s="7" t="str">
        <x:v>Tow equipment readiness</x:v>
      </x:c>
      <x:c r="F7" s="7" t="str">
        <x:v>Chief Engineer olarak winch, tow hook, towline, emergency release, FiFi ve critical defects durumunu görmek istiyorum.</x:v>
      </x:c>
      <x:c r="G7" s="7" t="str">
        <x:v>SWL/test/condition/PMS/certificate evidence; NOT_READY on critical failure; evidence/verification trace.</x:v>
      </x:c>
      <x:c r="H7" s="7" t="str">
        <x:v>tug-equipment-readiness</x:v>
      </x:c>
      <x:c r="I7" s="7" t="str">
        <x:v>P0</x:v>
      </x:c>
      <x:c r="J7" s="7" t="str">
        <x:v>S7</x:v>
      </x:c>
      <x:c r="K7" s="7" t="str">
        <x:v>Full Stack</x:v>
      </x:c>
      <x:c r="L7" s="7" t="str">
        <x:v>DEV-052,DEV-055</x:v>
      </x:c>
      <x:c r="M7" s="7" t="str">
        <x:v>T-TUG-006</x:v>
      </x:c>
      <x:c r="N7" s="7" t="str">
        <x:v>Not Started</x:v>
      </x:c>
      <x:c r="O7" s="7" t="str">
        <x:v>YES</x:v>
      </x:c>
      <x:c r="P7" s="7" t="n">
        <x:v>8</x:v>
      </x:c>
      <x:c r="Q7" s="7" t="str">
        <x:v>H</x:v>
      </x:c>
      <x:c r="R7" s="7" t="str">
        <x:v>v46.2</x:v>
      </x:c>
    </x:row>
    <x:row r="8">
      <x:c r="A8" s="7" t="str">
        <x:v>DEV-086</x:v>
      </x:c>
      <x:c r="B8" s="7" t="str">
        <x:v>Story</x:v>
      </x:c>
      <x:c r="C8" s="7" t="str">
        <x:v>E21 Tug Operations</x:v>
      </x:c>
      <x:c r="D8" s="7" t="str">
        <x:v>Crew Readiness</x:v>
      </x:c>
      <x:c r="E8" s="7" t="str">
        <x:v>Römorkör crew/towage competence readiness</x:v>
      </x:c>
      <x:c r="F8" s="7" t="str">
        <x:v>Master/Crewing olarak minimum manning, credential, towage competence, familiarization ve work/rest durumunu görmek istiyorum.</x:v>
      </x:c>
      <x:c r="G8" s="7" t="str">
        <x:v>Shared crew engine + tug-specific towage competence; positive readiness blocked by missing/unverified credential/competence.</x:v>
      </x:c>
      <x:c r="H8" s="7" t="str">
        <x:v>tug-crew-readiness</x:v>
      </x:c>
      <x:c r="I8" s="7" t="str">
        <x:v>P0</x:v>
      </x:c>
      <x:c r="J8" s="7" t="str">
        <x:v>S7</x:v>
      </x:c>
      <x:c r="K8" s="7" t="str">
        <x:v>Full Stack</x:v>
      </x:c>
      <x:c r="L8" s="7" t="str">
        <x:v>DEV-048,DEV-050</x:v>
      </x:c>
      <x:c r="M8" s="7" t="str">
        <x:v>T-TUG-007</x:v>
      </x:c>
      <x:c r="N8" s="7" t="str">
        <x:v>Not Started</x:v>
      </x:c>
      <x:c r="O8" s="7" t="str">
        <x:v>YES</x:v>
      </x:c>
      <x:c r="P8" s="7" t="n">
        <x:v>8</x:v>
      </x:c>
      <x:c r="Q8" s="7" t="str">
        <x:v>H</x:v>
      </x:c>
      <x:c r="R8" s="7" t="str">
        <x:v>v46.2</x:v>
      </x:c>
    </x:row>
    <x:row r="9">
      <x:c r="A9" s="7" t="str">
        <x:v>DEV-087</x:v>
      </x:c>
      <x:c r="B9" s="7" t="str">
        <x:v>Story</x:v>
      </x:c>
      <x:c r="C9" s="7" t="str">
        <x:v>E21 Tug Operations</x:v>
      </x:c>
      <x:c r="D9" s="7" t="str">
        <x:v>Towage Plan</x:v>
      </x:c>
      <x:c r="E9" s="7" t="str">
        <x:v>Römorkaj operasyon planı</x:v>
      </x:c>
      <x:c r="F9" s="7" t="str">
        <x:v>Master/Tug Master olarak çekme konfigürasyonu, towline, BP, limitler, communication ve contingency planını hazırlamak istiyorum.</x:v>
      </x:c>
      <x:c r="G9" s="7" t="str">
        <x:v>Plan has tug roles, configuration, limits, communication, emergency release, contingency, snap-back controls and approval state.</x:v>
      </x:c>
      <x:c r="H9" s="7" t="str">
        <x:v>towage-plan / /api/v1/towage-plans</x:v>
      </x:c>
      <x:c r="I9" s="7" t="str">
        <x:v>P0</x:v>
      </x:c>
      <x:c r="J9" s="7" t="str">
        <x:v>S8</x:v>
      </x:c>
      <x:c r="K9" s="7" t="str">
        <x:v>Full Stack</x:v>
      </x:c>
      <x:c r="L9" s="7" t="str">
        <x:v>DEV-084,DEV-085</x:v>
      </x:c>
      <x:c r="M9" s="7" t="str">
        <x:v>T-TUG-008</x:v>
      </x:c>
      <x:c r="N9" s="7" t="str">
        <x:v>Not Started</x:v>
      </x:c>
      <x:c r="O9" s="7" t="str">
        <x:v>YES</x:v>
      </x:c>
      <x:c r="P9" s="7" t="n">
        <x:v>13</x:v>
      </x:c>
      <x:c r="Q9" s="7" t="str">
        <x:v>H</x:v>
      </x:c>
      <x:c r="R9" s="7" t="str">
        <x:v>v46.2</x:v>
      </x:c>
    </x:row>
    <x:row r="10">
      <x:c r="A10" s="7" t="str">
        <x:v>DEV-088</x:v>
      </x:c>
      <x:c r="B10" s="7" t="str">
        <x:v>Story</x:v>
      </x:c>
      <x:c r="C10" s="7" t="str">
        <x:v>E21 Tug Operations</x:v>
      </x:c>
      <x:c r="D10" s="7" t="str">
        <x:v>Risk &amp; Briefing</x:v>
      </x:c>
      <x:c r="E10" s="7" t="str">
        <x:v>Römorkaj risk ve brifing</x:v>
      </x:c>
      <x:c r="F10" s="7" t="str">
        <x:v>Master/Tug Master olarak weather/current/visibility/hazards/barriers/stop-work koşullarını ekip ile teyit etmek istiyorum.</x:v>
      </x:c>
      <x:c r="G10" s="7" t="str">
        <x:v>Risk state + preventive/mitigating barriers + stop-work + emergency + participants acknowledgement; incomplete briefing blocks READY.</x:v>
      </x:c>
      <x:c r="H10" s="7" t="str">
        <x:v>towage-risk-briefing</x:v>
      </x:c>
      <x:c r="I10" s="7" t="str">
        <x:v>P0</x:v>
      </x:c>
      <x:c r="J10" s="7" t="str">
        <x:v>S8</x:v>
      </x:c>
      <x:c r="K10" s="7" t="str">
        <x:v>Full Stack</x:v>
      </x:c>
      <x:c r="L10" s="7" t="str">
        <x:v>DEV-087</x:v>
      </x:c>
      <x:c r="M10" s="7" t="str">
        <x:v>T-TUG-009</x:v>
      </x:c>
      <x:c r="N10" s="7" t="str">
        <x:v>Not Started</x:v>
      </x:c>
      <x:c r="O10" s="7" t="str">
        <x:v>YES</x:v>
      </x:c>
      <x:c r="P10" s="7" t="n">
        <x:v>8</x:v>
      </x:c>
      <x:c r="Q10" s="7" t="str">
        <x:v>H</x:v>
      </x:c>
      <x:c r="R10" s="7" t="str">
        <x:v>v46.2</x:v>
      </x:c>
    </x:row>
    <x:row r="11">
      <x:c r="A11" s="7" t="str">
        <x:v>DEV-089</x:v>
      </x:c>
      <x:c r="B11" s="7" t="str">
        <x:v>Story</x:v>
      </x:c>
      <x:c r="C11" s="7" t="str">
        <x:v>E21 Tug Operations</x:v>
      </x:c>
      <x:c r="D11" s="7" t="str">
        <x:v>Execution</x:v>
      </x:c>
      <x:c r="E11" s="7" t="str">
        <x:v>Römorkaj operasyon yürütme</x:v>
      </x:c>
      <x:c r="F11" s="7" t="str">
        <x:v>Master/Tug Master olarak start/suspend/resume/abort/complete ve operasyon kanıtını kaydetmek istiyorum.</x:v>
      </x:c>
      <x:c r="G11" s="7" t="str">
        <x:v>Timeline, towline times, max load, comms, weather, events, Master decision, evidence, verification; shore/AI cannot start/abort operation.</x:v>
      </x:c>
      <x:c r="H11" s="7" t="str">
        <x:v>towage-execution / /api/v1/towage-executions</x:v>
      </x:c>
      <x:c r="I11" s="7" t="str">
        <x:v>P0</x:v>
      </x:c>
      <x:c r="J11" s="7" t="str">
        <x:v>S9</x:v>
      </x:c>
      <x:c r="K11" s="7" t="str">
        <x:v>Full Stack</x:v>
      </x:c>
      <x:c r="L11" s="7" t="str">
        <x:v>DEV-088,DEV-031</x:v>
      </x:c>
      <x:c r="M11" s="7" t="str">
        <x:v>T-TUG-010</x:v>
      </x:c>
      <x:c r="N11" s="7" t="str">
        <x:v>Not Started</x:v>
      </x:c>
      <x:c r="O11" s="7" t="str">
        <x:v>YES</x:v>
      </x:c>
      <x:c r="P11" s="7" t="n">
        <x:v>13</x:v>
      </x:c>
      <x:c r="Q11" s="7" t="str">
        <x:v>H</x:v>
      </x:c>
      <x:c r="R11" s="7" t="str">
        <x:v>v46.2</x:v>
      </x:c>
    </x:row>
    <x:row r="12">
      <x:c r="A12" s="7" t="str">
        <x:v>DEV-090</x:v>
      </x:c>
      <x:c r="B12" s="7" t="str">
        <x:v>Story</x:v>
      </x:c>
      <x:c r="C12" s="7" t="str">
        <x:v>E21 Tug Operations</x:v>
      </x:c>
      <x:c r="D12" s="7" t="str">
        <x:v>Daily Log</x:v>
      </x:c>
      <x:c r="E12" s="7" t="str">
        <x:v>Römorkör günlük defteri</x:v>
      </x:c>
      <x:c r="F12" s="7" t="str">
        <x:v>Master olarak vardiya/gün sonunda iş, runtime, fuel, defect, safety event ve özet kaydı yapmak istiyorum.</x:v>
      </x:c>
      <x:c r="G12" s="7" t="str">
        <x:v>Daily log works offline; job links and meter values reconcile; Master review + sync state visible.</x:v>
      </x:c>
      <x:c r="H12" s="7" t="str">
        <x:v>tug-daily-log</x:v>
      </x:c>
      <x:c r="I12" s="7" t="str">
        <x:v>P1</x:v>
      </x:c>
      <x:c r="J12" s="7" t="str">
        <x:v>S9</x:v>
      </x:c>
      <x:c r="K12" s="7" t="str">
        <x:v>Full Stack</x:v>
      </x:c>
      <x:c r="L12" s="7" t="str">
        <x:v>DEV-033,DEV-089</x:v>
      </x:c>
      <x:c r="M12" s="7" t="str">
        <x:v>T-TUG-011</x:v>
      </x:c>
      <x:c r="N12" s="7" t="str">
        <x:v>Not Started</x:v>
      </x:c>
      <x:c r="O12" s="7" t="str">
        <x:v>YES</x:v>
      </x:c>
      <x:c r="P12" s="7" t="n">
        <x:v>8</x:v>
      </x:c>
      <x:c r="Q12" s="7" t="str">
        <x:v>M</x:v>
      </x:c>
      <x:c r="R12" s="7" t="str">
        <x:v>v46.2</x:v>
      </x:c>
    </x:row>
    <x:row r="13">
      <x:c r="A13" s="7" t="str">
        <x:v>DEV-091</x:v>
      </x:c>
      <x:c r="B13" s="7" t="str">
        <x:v>Story</x:v>
      </x:c>
      <x:c r="C13" s="7" t="str">
        <x:v>E21 Tug Operations</x:v>
      </x:c>
      <x:c r="D13" s="7" t="str">
        <x:v>History</x:v>
      </x:c>
      <x:c r="E13" s="7" t="str">
        <x:v>Römorkör operasyon geçmişi</x:v>
      </x:c>
      <x:c r="F13" s="7" t="str">
        <x:v>Operasyon/DPA olarak geçmiş işi gemi, tip, süre, Master, sonuç ve evidence durumuyla aramak istiyorum.</x:v>
      </x:c>
      <x:c r="G13" s="7" t="str">
        <x:v>History filterable by tug/job/vessel/date/outcome; no silent deletion; trace to evidence/event.</x:v>
      </x:c>
      <x:c r="H13" s="7" t="str">
        <x:v>tug-operation-history</x:v>
      </x:c>
      <x:c r="I13" s="7" t="str">
        <x:v>P1</x:v>
      </x:c>
      <x:c r="J13" s="7" t="str">
        <x:v>S10</x:v>
      </x:c>
      <x:c r="K13" s="7" t="str">
        <x:v>Full Stack</x:v>
      </x:c>
      <x:c r="L13" s="7" t="str">
        <x:v>DEV-089</x:v>
      </x:c>
      <x:c r="M13" s="7" t="str">
        <x:v>T-TUG-012</x:v>
      </x:c>
      <x:c r="N13" s="7" t="str">
        <x:v>Not Started</x:v>
      </x:c>
      <x:c r="O13" s="7" t="str">
        <x:v>YES</x:v>
      </x:c>
      <x:c r="P13" s="7" t="n">
        <x:v>5</x:v>
      </x:c>
      <x:c r="Q13" s="7" t="str">
        <x:v>M</x:v>
      </x:c>
      <x:c r="R13" s="7" t="str">
        <x:v>v46.2</x:v>
      </x:c>
    </x:row>
    <x:row r="14">
      <x:c r="A14" s="7" t="str">
        <x:v>DEV-092</x:v>
      </x:c>
      <x:c r="B14" s="7" t="str">
        <x:v>Story</x:v>
      </x:c>
      <x:c r="C14" s="7" t="str">
        <x:v>E21 Tug Operations</x:v>
      </x:c>
      <x:c r="D14" s="7" t="str">
        <x:v>Offline</x:v>
      </x:c>
      <x:c r="E14" s="7" t="str">
        <x:v>Römorkör job/briefing/execution offline akışı</x:v>
      </x:c>
      <x:c r="F14" s="7" t="str">
        <x:v>Tugboard kullanıcı olarak bağlantı yokken kritik kayıtları kaybetmeden çalışmak istiyorum.</x:v>
      </x:c>
      <x:c r="G14" s="7" t="str">
        <x:v>Job snapshot prefetched; briefing/execution/log durable queue; reconnect idempotent; material conflicts explicit.</x:v>
      </x:c>
      <x:c r="H14" s="7" t="str">
        <x:v>mobile-task-center / Tug Ops</x:v>
      </x:c>
      <x:c r="I14" s="7" t="str">
        <x:v>P0</x:v>
      </x:c>
      <x:c r="J14" s="7" t="str">
        <x:v>S10</x:v>
      </x:c>
      <x:c r="K14" s="7" t="str">
        <x:v>Full Stack</x:v>
      </x:c>
      <x:c r="L14" s="7" t="str">
        <x:v>DEV-033,DEV-034,DEV-035,DEV-089</x:v>
      </x:c>
      <x:c r="M14" s="7" t="str">
        <x:v>T-TUG-013</x:v>
      </x:c>
      <x:c r="N14" s="7" t="str">
        <x:v>Not Started</x:v>
      </x:c>
      <x:c r="O14" s="7" t="str">
        <x:v>YES</x:v>
      </x:c>
      <x:c r="P14" s="7" t="n">
        <x:v>13</x:v>
      </x:c>
      <x:c r="Q14" s="7" t="str">
        <x:v>H</x:v>
      </x:c>
      <x:c r="R14" s="7" t="str">
        <x:v>v46.2</x:v>
      </x:c>
    </x:row>
    <x:row r="15">
      <x:c r="A15" s="7" t="str">
        <x:v>DEV-093</x:v>
      </x:c>
      <x:c r="B15" s="7" t="str">
        <x:v>Task</x:v>
      </x:c>
      <x:c r="C15" s="7" t="str">
        <x:v>E21 Tug Operations</x:v>
      </x:c>
      <x:c r="D15" s="7" t="str">
        <x:v>Regulatory</x:v>
      </x:c>
      <x:c r="E15" s="7" t="str">
        <x:v>Tug regulatory source/applicability review</x:v>
      </x:c>
      <x:c r="F15" s="7" t="str">
        <x:v>Regulatory owner olarak tug operasyon limitlerinin kontrollü kaynağını doğrulamak istiyorum.</x:v>
      </x:c>
      <x:c r="G15" s="7" t="str">
        <x:v>Flag/class/company/local source ownership assigned; unknown rules remain REVIEW_REQUIRED; no unsupported legal claim.</x:v>
      </x:c>
      <x:c r="H15" s="7" t="str">
        <x:v>Regulatory Trace</x:v>
      </x:c>
      <x:c r="I15" s="7" t="str">
        <x:v>P0</x:v>
      </x:c>
      <x:c r="J15" s="7" t="str">
        <x:v>S11</x:v>
      </x:c>
      <x:c r="K15" s="7" t="str">
        <x:v>Regulatory Lead</x:v>
      </x:c>
      <x:c r="L15" s="7" t="str">
        <x:v>DEV-008,DEV-084,DEV-087</x:v>
      </x:c>
      <x:c r="M15" s="7" t="str">
        <x:v>T-TUG-014</x:v>
      </x:c>
      <x:c r="N15" s="7" t="str">
        <x:v>Not Started</x:v>
      </x:c>
      <x:c r="O15" s="7" t="str">
        <x:v>YES</x:v>
      </x:c>
      <x:c r="P15" s="7" t="n">
        <x:v>8</x:v>
      </x:c>
      <x:c r="Q15" s="7" t="str">
        <x:v>H</x:v>
      </x:c>
      <x:c r="R15" s="7" t="str">
        <x:v>v46.2</x:v>
      </x:c>
    </x:row>
    <x:row r="16">
      <x:c r="A16" s="7" t="str">
        <x:v>DEV-094</x:v>
      </x:c>
      <x:c r="B16" s="7" t="str">
        <x:v>Task</x:v>
      </x:c>
      <x:c r="C16" s="7" t="str">
        <x:v>E21 Tug Operations</x:v>
      </x:c>
      <x:c r="D16" s="7" t="str">
        <x:v>UAT</x:v>
      </x:c>
      <x:c r="E16" s="7" t="str">
        <x:v>Tug role UAT</x:v>
      </x:c>
      <x:c r="F16" s="7" t="str">
        <x:v>Tug Master ve operasyon sorumlusu olarak işi talepten kapanışa yardımsız tamamlamak istiyorum.</x:v>
      </x:c>
      <x:c r="G16" s="7" t="str">
        <x:v>Intake→assignment→readiness→plan→briefing→execution→log journey meets agreed task success; blocker UX issue=0.</x:v>
      </x:c>
      <x:c r="H16" s="7" t="str">
        <x:v>UAT Tug Mode</x:v>
      </x:c>
      <x:c r="I16" s="7" t="str">
        <x:v>P0</x:v>
      </x:c>
      <x:c r="J16" s="7" t="str">
        <x:v>S11</x:v>
      </x:c>
      <x:c r="K16" s="7" t="str">
        <x:v>QA/UX/Product</x:v>
      </x:c>
      <x:c r="L16" s="7" t="str">
        <x:v>DEV-081:DEV-092</x:v>
      </x:c>
      <x:c r="M16" s="7" t="str">
        <x:v>T-TUG-015</x:v>
      </x:c>
      <x:c r="N16" s="7" t="str">
        <x:v>Not Started</x:v>
      </x:c>
      <x:c r="O16" s="7" t="str">
        <x:v>YES</x:v>
      </x:c>
      <x:c r="P16" s="7" t="n">
        <x:v>8</x:v>
      </x:c>
      <x:c r="Q16" s="7" t="str">
        <x:v>M</x:v>
      </x:c>
      <x:c r="R16" s="7" t="str">
        <x:v>v46.2</x:v>
      </x:c>
    </x:row>
    <x:row r="17">
      <x:c r="A17" s="7" t="str">
        <x:v>DEV-095</x:v>
      </x:c>
      <x:c r="B17" s="7" t="str">
        <x:v>Task</x:v>
      </x:c>
      <x:c r="C17" s="7" t="str">
        <x:v>E21 Tug Operations</x:v>
      </x:c>
      <x:c r="D17" s="7" t="str">
        <x:v>Pilot</x:v>
      </x:c>
      <x:c r="E17" s="7" t="str">
        <x:v>Dual-mode pilot proof</x:v>
      </x:c>
      <x:c r="F17" s="7" t="str">
        <x:v>PO olarak bir gemi ve bir römorkörde core ortak altyapı ile iki modun çalıştığını kanıtlamak istiyorum.</x:v>
      </x:c>
      <x:c r="G17" s="7" t="str">
        <x:v>1 ship departure/safety flow + 1 tug job/towage flow; shared crew/PMS/evidence/audit/offline demonstrated; metrics captured.</x:v>
      </x:c>
      <x:c r="H17" s="7" t="str">
        <x:v>Pilot</x:v>
      </x:c>
      <x:c r="I17" s="7" t="str">
        <x:v>P0</x:v>
      </x:c>
      <x:c r="J17" s="7" t="str">
        <x:v>PILOT-W2</x:v>
      </x:c>
      <x:c r="K17" s="7" t="str">
        <x:v>Product+Pilot Team</x:v>
      </x:c>
      <x:c r="L17" s="7" t="str">
        <x:v>DEV-075,DEV-094</x:v>
      </x:c>
      <x:c r="M17" s="7" t="str">
        <x:v>T-TUG-016</x:v>
      </x:c>
      <x:c r="N17" s="7" t="str">
        <x:v>Not Started</x:v>
      </x:c>
      <x:c r="O17" s="7" t="str">
        <x:v>YES</x:v>
      </x:c>
      <x:c r="P17" s="7" t="n">
        <x:v>5</x:v>
      </x:c>
      <x:c r="Q17" s="7" t="str">
        <x:v>H</x:v>
      </x:c>
      <x:c r="R17" s="7" t="str">
        <x:v>v46.2</x:v>
      </x:c>
    </x:row>
    <x:row r="18">
      <x:c r="A18" s="7" t="str">
        <x:v>DEV-096</x:v>
      </x:c>
      <x:c r="B18" s="7" t="str">
        <x:v>Task</x:v>
      </x:c>
      <x:c r="C18" s="7" t="str">
        <x:v>E21 Tug Operations</x:v>
      </x:c>
      <x:c r="D18" s="7" t="str">
        <x:v>Value</x:v>
      </x:c>
      <x:c r="E18" s="7" t="str">
        <x:v>Tug value readout</x:v>
      </x:c>
      <x:c r="F18" s="7" t="str">
        <x:v>Yönetim olarak tug mode değerini operasyon süresi, kayıt kalitesi ve readiness görünürlüğü ile görmek istiyorum.</x:v>
      </x:c>
      <x:c r="G18" s="7" t="str">
        <x:v>Before/after: job prep time, assignment conflict visibility, evidence completeness, offline success, user adoption; expand/fix decision.</x:v>
      </x:c>
      <x:c r="H18" s="7" t="str">
        <x:v>Pilot Value</x:v>
      </x:c>
      <x:c r="I18" s="7" t="str">
        <x:v>P0</x:v>
      </x:c>
      <x:c r="J18" s="7" t="str">
        <x:v>PILOT-W4</x:v>
      </x:c>
      <x:c r="K18" s="7" t="str">
        <x:v>Product Owner</x:v>
      </x:c>
      <x:c r="L18" s="7" t="str">
        <x:v>DEV-095</x:v>
      </x:c>
      <x:c r="M18" s="7" t="str">
        <x:v>T-TUG-017</x:v>
      </x:c>
      <x:c r="N18" s="7" t="str">
        <x:v>Not Started</x:v>
      </x:c>
      <x:c r="O18" s="7" t="str">
        <x:v>YES</x:v>
      </x:c>
      <x:c r="P18" s="7" t="n">
        <x:v>5</x:v>
      </x:c>
      <x:c r="Q18" s="7" t="str">
        <x:v>M</x:v>
      </x:c>
      <x:c r="R18" s="7" t="str">
        <x:v>v46.2</x:v>
      </x:c>
    </x:row>
    <x:row r="19">
      <x:c r="A19" s="7"/>
      <x:c r="B19" s="7"/>
      <x:c r="C19" s="7"/>
      <x:c r="D19" s="7"/>
      <x:c r="E19" s="7"/>
      <x:c r="F19" s="7"/>
      <x:c r="G19" s="7"/>
      <x:c r="H19" s="7"/>
      <x:c r="I19" s="7"/>
      <x:c r="J19" s="7"/>
      <x:c r="K19" s="7"/>
      <x:c r="L19" s="7"/>
      <x:c r="M19" s="7"/>
      <x:c r="N19" s="7"/>
      <x:c r="O19" s="7"/>
      <x:c r="P19" s="7"/>
      <x:c r="Q19" s="7"/>
      <x:c r="R19" s="7"/>
    </x:row>
    <x:row r="20">
      <x:c r="A20" s="7"/>
      <x:c r="B20" s="7"/>
      <x:c r="C20" s="7"/>
      <x:c r="D20" s="7"/>
      <x:c r="E20" s="7"/>
      <x:c r="F20" s="7"/>
      <x:c r="G20" s="7"/>
      <x:c r="H20" s="7"/>
      <x:c r="I20" s="7"/>
      <x:c r="J20" s="7"/>
      <x:c r="K20" s="7"/>
      <x:c r="L20" s="7"/>
      <x:c r="M20" s="7"/>
      <x:c r="N20" s="7"/>
      <x:c r="O20" s="7"/>
      <x:c r="P20" s="7"/>
      <x:c r="Q20" s="7"/>
      <x:c r="R20" s="7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10" hidden="0" customWidth="1"/>
  </x:cols>
  <x:sheetData>
    <x:row r="1">
      <x:c r="A1" s="36" t="str">
        <x:v>POSEIDON v46.3 Development Scope</x:v>
      </x:c>
      <x:c r="B1" s="36" t="str">
        <x:v>Controlled Candidate / NOZZLE benchmark delta</x:v>
      </x:c>
    </x:row>
    <x:row r="2">
      <x:c r="A2" s="29" t="str">
        <x:v>Parent baseline</x:v>
      </x:c>
      <x:c r="B2" s="7" t="str">
        <x:v>v46.2 — 185 screens / 2.126 field contracts</x:v>
      </x:c>
    </x:row>
    <x:row r="3">
      <x:c r="A3" s="29" t="str">
        <x:v>Primary scope</x:v>
      </x:c>
      <x:c r="B3" s="7" t="str">
        <x:v>Ship + Tug Safe Operations, Compliance &amp; Readiness Platform</x:v>
      </x:c>
    </x:row>
    <x:row r="4">
      <x:c r="A4" s="29" t="str">
        <x:v>Current candidate inventory</x:v>
      </x:c>
      <x:c r="B4" s="7" t="str">
        <x:v>196 screens / 2.316 field contracts</x:v>
      </x:c>
    </x:row>
    <x:row r="5">
      <x:c r="A5" s="29" t="str">
        <x:v>Ship delta</x:v>
      </x:c>
      <x:c r="B5" s="7" t="str">
        <x:v>Noon, Deck/Engine Daily Logs, Fuel/Bunker/ROB, Port Activity/SOF, Operational Downtime</x:v>
      </x:c>
    </x:row>
    <x:row r="6">
      <x:c r="A6" s="29" t="str">
        <x:v>PMS/Assurance delta</x:v>
      </x:c>
      <x:c r="B6" s="7" t="str">
        <x:v>Service/Engineer Report, Pre-Survey Checklist; Job Pool/Drydock/Survey/Spare flows strengthened</x:v>
      </x:c>
    </x:row>
    <x:row r="7">
      <x:c r="A7" s="29" t="str">
        <x:v>Safety delta</x:v>
      </x:c>
      <x:c r="B7" s="7" t="str">
        <x:v>General RA, Risk Template Library, Fleet High-Risk Work; barrier/effectiveness retained</x:v>
      </x:c>
    </x:row>
    <x:row r="8">
      <x:c r="A8" s="29" t="str">
        <x:v>Tug</x:v>
      </x:c>
      <x:c r="B8" s="7" t="str">
        <x:v>13-screen first-class Tug lifecycle unchanged and remains strategic wedge</x:v>
      </x:c>
    </x:row>
    <x:row r="9">
      <x:c r="A9" s="29" t="str">
        <x:v>ERP boundary</x:v>
      </x:c>
      <x:c r="B9" s="7" t="str">
        <x:v>Finance/payroll/full procurement/RFQ/PO/warehouse/chartering OUT or integration-only</x:v>
      </x:c>
    </x:row>
    <x:row r="10">
      <x:c r="A10" s="29" t="str">
        <x:v>Port boundary</x:v>
      </x:c>
      <x:c r="B10" s="7" t="str">
        <x:v>Port/terminal/berth/VTS management OUT; vessel/tug own operational context IN</x:v>
      </x:c>
    </x:row>
    <x:row r="11">
      <x:c r="A11" s="29" t="str">
        <x:v>Pilot</x:v>
      </x:c>
      <x:c r="B11" s="7" t="str">
        <x:v>Minimum 1 ship + 1 tug; v46.3 new ship-ops + existing tug differentiator both demonstrated</x:v>
      </x:c>
    </x:row>
    <x:row r="12">
      <x:c r="A12" s="29"/>
      <x:c r="B12" s="7"/>
    </x:row>
    <x:row r="13">
      <x:c r="A13" s="29"/>
      <x:c r="B13" s="7"/>
    </x:row>
    <x:row r="14">
      <x:c r="A14" s="29"/>
      <x:c r="B14" s="7"/>
    </x:row>
    <x:row r="15">
      <x:c r="A15" s="29"/>
      <x:c r="B15" s="7"/>
    </x:row>
    <x:row r="16">
      <x:c r="A16" s="29"/>
      <x:c r="B16" s="7"/>
    </x:row>
    <x:row r="17">
      <x:c r="A17" s="29"/>
      <x:c r="B17" s="7"/>
    </x:row>
    <x:row r="18">
      <x:c r="A18" s="29"/>
      <x:c r="B18" s="7"/>
    </x:row>
    <x:row r="19">
      <x:c r="A19" s="29"/>
      <x:c r="B19" s="7"/>
    </x:row>
    <x:row r="20">
      <x:c r="A20" s="29"/>
      <x:c r="B20" s="7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6" hidden="0" customWidth="1"/>
    <x:col min="3" max="3" width="48" hidden="0" customWidth="1"/>
    <x:col min="4" max="4" width="68" hidden="0" customWidth="1"/>
    <x:col min="5" max="5" width="34" hidden="0" customWidth="1"/>
    <x:col min="6" max="6" width="24" hidden="0" customWidth="1"/>
  </x:cols>
  <x:sheetData>
    <x:row r="1">
      <x:c r="A1" s="38" t="str">
        <x:v>Sprint</x:v>
      </x:c>
      <x:c r="B1" s="38" t="str">
        <x:v>Phase</x:v>
      </x:c>
      <x:c r="C1" s="38" t="str">
        <x:v>Primary Outcome</x:v>
      </x:c>
      <x:c r="D1" s="38" t="str">
        <x:v>v46.3 Increment</x:v>
      </x:c>
      <x:c r="E1" s="38" t="str">
        <x:v>Exit Gate</x:v>
      </x:c>
      <x:c r="F1" s="38" t="str">
        <x:v>Primary New IDs</x:v>
      </x:c>
    </x:row>
    <x:row r="2">
      <x:c r="A2" s="7" t="str">
        <x:v>S0</x:v>
      </x:c>
      <x:c r="B2" s="7" t="str">
        <x:v>Candidate Freeze</x:v>
      </x:c>
      <x:c r="C2" s="7" t="str">
        <x:v>Scope/trace/architecture/backlog/test freeze</x:v>
      </x:c>
      <x:c r="D2" s="7" t="str">
        <x:v>ERP boundary + 196/2316 trace + benchmark delta</x:v>
      </x:c>
      <x:c r="E2" s="7" t="str">
        <x:v>v46.3 Candidate Gate PASS</x:v>
      </x:c>
      <x:c r="F2" s="7" t="str">
        <x:v>DEV-115,116</x:v>
      </x:c>
    </x:row>
    <x:row r="3">
      <x:c r="A3" s="7" t="str">
        <x:v>S1</x:v>
      </x:c>
      <x:c r="B3" s="7" t="str">
        <x:v>Foundation</x:v>
      </x:c>
      <x:c r="C3" s="7" t="str">
        <x:v>Identity/tenant/RBAC/audit/files</x:v>
      </x:c>
      <x:c r="D3" s="7" t="str">
        <x:v>No benchmark-specific scope; foundation retained</x:v>
      </x:c>
      <x:c r="E3" s="7" t="str">
        <x:v>Security/tenant pass</x:v>
      </x:c>
      <x:c r="F3" s="7" t="str">
        <x:v>Existing S1</x:v>
      </x:c>
    </x:row>
    <x:row r="4">
      <x:c r="A4" s="7" t="str">
        <x:v>S2</x:v>
      </x:c>
      <x:c r="B4" s="7" t="str">
        <x:v>Foundation</x:v>
      </x:c>
      <x:c r="C4" s="7" t="str">
        <x:v>Role shell / Today / Why</x:v>
      </x:c>
      <x:c r="D4" s="7" t="str">
        <x:v>196-screen navigation/projection compatibility</x:v>
      </x:c>
      <x:c r="E4" s="7" t="str">
        <x:v>Role UX pass</x:v>
      </x:c>
      <x:c r="F4" s="7" t="str">
        <x:v>Existing S2</x:v>
      </x:c>
    </x:row>
    <x:row r="5">
      <x:c r="A5" s="7" t="str">
        <x:v>S3</x:v>
      </x:c>
      <x:c r="B5" s="7" t="str">
        <x:v>Foundation</x:v>
      </x:c>
      <x:c r="C5" s="7" t="str">
        <x:v>Applicability→Control→Evidence→Decision</x:v>
      </x:c>
      <x:c r="D5" s="7" t="str">
        <x:v>NOZZLE additions reuse same regulatory/evidence core</x:v>
      </x:c>
      <x:c r="E5" s="7" t="str">
        <x:v>Trace E2E pass</x:v>
      </x:c>
      <x:c r="F5" s="7" t="str">
        <x:v>Existing S3</x:v>
      </x:c>
    </x:row>
    <x:row r="6">
      <x:c r="A6" s="7" t="str">
        <x:v>S4</x:v>
      </x:c>
      <x:c r="B6" s="7" t="str">
        <x:v>Foundation</x:v>
      </x:c>
      <x:c r="C6" s="7" t="str">
        <x:v>Offline queue/sync/conflict</x:v>
      </x:c>
      <x:c r="D6" s="7" t="str">
        <x:v>Daily logs / inspections / tug flows share offline contract</x:v>
      </x:c>
      <x:c r="E6" s="7" t="str">
        <x:v>Offline chaos pass</x:v>
      </x:c>
      <x:c r="F6" s="7" t="str">
        <x:v>Existing S4</x:v>
      </x:c>
    </x:row>
    <x:row r="7">
      <x:c r="A7" s="7" t="str">
        <x:v>S5</x:v>
      </x:c>
      <x:c r="B7" s="7" t="str">
        <x:v>Ship Ops 2.0</x:v>
      </x:c>
      <x:c r="C7" s="7" t="str">
        <x:v>Voyage/Noon/Daily logs</x:v>
      </x:c>
      <x:c r="D7" s="7" t="str">
        <x:v>Noon + Deck + Engine</x:v>
      </x:c>
      <x:c r="E7" s="7" t="str">
        <x:v>Ship daily ops UAT</x:v>
      </x:c>
      <x:c r="F7" s="7" t="str">
        <x:v>097-099</x:v>
      </x:c>
    </x:row>
    <x:row r="8">
      <x:c r="A8" s="7" t="str">
        <x:v>S6</x:v>
      </x:c>
      <x:c r="B8" s="7" t="str">
        <x:v>Ship Ops 2.0</x:v>
      </x:c>
      <x:c r="C8" s="7" t="str">
        <x:v>Fuel/BDN/SOF/Downtime</x:v>
      </x:c>
      <x:c r="D8" s="7" t="str">
        <x:v>Fuel/Bunker/ROB + Port Activity/SOF + Downtime</x:v>
      </x:c>
      <x:c r="E8" s="7" t="str">
        <x:v>Ship ops vertical slice</x:v>
      </x:c>
      <x:c r="F8" s="7" t="str">
        <x:v>100-102</x:v>
      </x:c>
    </x:row>
    <x:row r="9">
      <x:c r="A9" s="7" t="str">
        <x:v>S7</x:v>
      </x:c>
      <x:c r="B9" s="7" t="str">
        <x:v>Crew/Risk/Certificate</x:v>
      </x:c>
      <x:c r="C9" s="7" t="str">
        <x:v>Crew eligibility + RA + pre-survey</x:v>
      </x:c>
      <x:c r="D9" s="7" t="str">
        <x:v>Risk workspace/templates + Pre-Survey + Survey Planner strengthen</x:v>
      </x:c>
      <x:c r="E9" s="7" t="str">
        <x:v>Safety/assurance UAT</x:v>
      </x:c>
      <x:c r="F9" s="7" t="str">
        <x:v>104-106,112</x:v>
      </x:c>
    </x:row>
    <x:row r="10">
      <x:c r="A10" s="7" t="str">
        <x:v>S8</x:v>
      </x:c>
      <x:c r="B10" s="7" t="str">
        <x:v>PMS 2.0</x:v>
      </x:c>
      <x:c r="C10" s="7" t="str">
        <x:v>Technical reliability depth</x:v>
      </x:c>
      <x:c r="D10" s="7" t="str">
        <x:v>Service report + measurements + postponement + critical spares</x:v>
      </x:c>
      <x:c r="E10" s="7" t="str">
        <x:v>Technical UAT</x:v>
      </x:c>
      <x:c r="F10" s="7" t="str">
        <x:v>103,108-110</x:v>
      </x:c>
    </x:row>
    <x:row r="11">
      <x:c r="A11" s="7" t="str">
        <x:v>S9</x:v>
      </x:c>
      <x:c r="B11" s="7" t="str">
        <x:v>PMS/Knowledge/Tug</x:v>
      </x:c>
      <x:c r="C11" s="7" t="str">
        <x:v>Drydock/doc controls + Tug planning</x:v>
      </x:c>
      <x:c r="D11" s="7" t="str">
        <x:v>Drydock strengthen + doc compare + Tug intake/assignment/readiness/plan</x:v>
      </x:c>
      <x:c r="E11" s="7" t="str">
        <x:v>Mixed-mode UAT</x:v>
      </x:c>
      <x:c r="F11" s="7" t="str">
        <x:v>111,114 + Tug</x:v>
      </x:c>
    </x:row>
    <x:row r="12">
      <x:c r="A12" s="7" t="str">
        <x:v>S10</x:v>
      </x:c>
      <x:c r="B12" s="7" t="str">
        <x:v>Tug/Assurance/Regression</x:v>
      </x:c>
      <x:c r="C12" s="7" t="str">
        <x:v>Towage execution + SIRE + benchmark regression</x:v>
      </x:c>
      <x:c r="D12" s="7" t="str">
        <x:v>Tug end-to-end + SIRE + ship/tug demo journeys</x:v>
      </x:c>
      <x:c r="E12" s="7" t="str">
        <x:v>Pre-pilot hardening</x:v>
      </x:c>
      <x:c r="F12" s="7" t="str">
        <x:v>113,115,119,120</x:v>
      </x:c>
    </x:row>
    <x:row r="13">
      <x:c r="A13" s="7" t="str">
        <x:v>S11</x:v>
      </x:c>
      <x:c r="B13" s="7" t="str">
        <x:v>Certification/Pilot Gate</x:v>
      </x:c>
      <x:c r="C13" s="7" t="str">
        <x:v>Roadmaps + migration/DR/UAT</x:v>
      </x:c>
      <x:c r="D13" s="7" t="str">
        <x:v>Class/ISO roadmaps + final pilot prep</x:v>
      </x:c>
      <x:c r="E13" s="7" t="str">
        <x:v>Pilot GO</x:v>
      </x:c>
      <x:c r="F13" s="7" t="str">
        <x:v>117,118</x:v>
      </x:c>
    </x:row>
    <x:row r="14">
      <x:c r="A14" s="7" t="str">
        <x:v>PILOT</x:v>
      </x:c>
      <x:c r="B14" s="7" t="str">
        <x:v>30-Day Design Partner Pilot</x:v>
      </x:c>
      <x:c r="C14" s="7" t="str">
        <x:v>1 ship + 1 tug real proof</x:v>
      </x:c>
      <x:c r="D14" s="7" t="str">
        <x:v>New ship ops + tug differentiators + readiness/applicability metrics</x:v>
      </x:c>
      <x:c r="E14" s="7" t="str">
        <x:v>Signed UAT / Expand-Fix-NoGo</x:v>
      </x:c>
      <x:c r="F14" s="7" t="str">
        <x:v>121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42" hidden="0" customWidth="1"/>
    <x:col min="3" max="3" width="22" hidden="0" customWidth="1"/>
    <x:col min="4" max="4" width="12" hidden="0" customWidth="1"/>
    <x:col min="5" max="5" width="12" hidden="0" customWidth="1"/>
    <x:col min="6" max="6" width="30" hidden="0" customWidth="1"/>
    <x:col min="7" max="7" width="70" hidden="0" customWidth="1"/>
    <x:col min="8" max="8" width="55" hidden="0" customWidth="1"/>
  </x:cols>
  <x:sheetData>
    <x:row r="1">
      <x:c r="A1" s="38" t="str">
        <x:v>ID</x:v>
      </x:c>
      <x:c r="B1" s="38" t="str">
        <x:v>Capability</x:v>
      </x:c>
      <x:c r="C1" s="38" t="str">
        <x:v>Decision</x:v>
      </x:c>
      <x:c r="D1" s="38" t="str">
        <x:v>Priority</x:v>
      </x:c>
      <x:c r="E1" s="38" t="str">
        <x:v>Sprint</x:v>
      </x:c>
      <x:c r="F1" s="38" t="str">
        <x:v>Screen</x:v>
      </x:c>
      <x:c r="G1" s="38" t="str">
        <x:v>Acceptance Summary</x:v>
      </x:c>
      <x:c r="H1" s="38" t="str">
        <x:v>Source / Rationale</x:v>
      </x:c>
    </x:row>
    <x:row r="2">
      <x:c r="A2" s="7" t="str">
        <x:v>V463-01</x:v>
      </x:c>
      <x:c r="B2" s="7" t="str">
        <x:v>Noon Report</x:v>
      </x:c>
      <x:c r="C2" s="7" t="str">
        <x:v>ADD</x:v>
      </x:c>
      <x:c r="D2" s="7" t="str">
        <x:v>P0</x:v>
      </x:c>
      <x:c r="E2" s="7" t="str">
        <x:v>S5</x:v>
      </x:c>
      <x:c r="F2" s="7" t="str">
        <x:v>noon-report</x:v>
      </x:c>
      <x:c r="G2" s="7" t="str">
        <x:v>Single-entry daily operational hub, offline + downstream reuse</x:v>
      </x:c>
      <x:c r="H2" s="7" t="str">
        <x:v>NOZZLE Operations benchmark</x:v>
      </x:c>
    </x:row>
    <x:row r="3">
      <x:c r="A3" s="7" t="str">
        <x:v>V463-02</x:v>
      </x:c>
      <x:c r="B3" s="7" t="str">
        <x:v>Deck Daily Log</x:v>
      </x:c>
      <x:c r="C3" s="7" t="str">
        <x:v>ADD</x:v>
      </x:c>
      <x:c r="D3" s="7" t="str">
        <x:v>P0</x:v>
      </x:c>
      <x:c r="E3" s="7" t="str">
        <x:v>S5</x:v>
      </x:c>
      <x:c r="F3" s="7" t="str">
        <x:v>deck-daily-log</x:v>
      </x:c>
      <x:c r="G3" s="7" t="str">
        <x:v>Watch/nav/port/cargo/handover</x:v>
      </x:c>
      <x:c r="H3" s="7" t="str">
        <x:v>NOZZLE Operations benchmark</x:v>
      </x:c>
    </x:row>
    <x:row r="4">
      <x:c r="A4" s="7" t="str">
        <x:v>V463-03</x:v>
      </x:c>
      <x:c r="B4" s="7" t="str">
        <x:v>Engine Daily Log</x:v>
      </x:c>
      <x:c r="C4" s="7" t="str">
        <x:v>ADD</x:v>
      </x:c>
      <x:c r="D4" s="7" t="str">
        <x:v>P0</x:v>
      </x:c>
      <x:c r="E4" s="7" t="str">
        <x:v>S5</x:v>
      </x:c>
      <x:c r="F4" s="7" t="str">
        <x:v>engine-daily-log</x:v>
      </x:c>
      <x:c r="G4" s="7" t="str">
        <x:v>Hours/fuel/measurements/alarms/defects/handover</x:v>
      </x:c>
      <x:c r="H4" s="7" t="str">
        <x:v>NOZZLE Operations benchmark</x:v>
      </x:c>
    </x:row>
    <x:row r="5">
      <x:c r="A5" s="7" t="str">
        <x:v>V463-04</x:v>
      </x:c>
      <x:c r="B5" s="7" t="str">
        <x:v>Fuel/Bunker/ROB/BDN</x:v>
      </x:c>
      <x:c r="C5" s="7" t="str">
        <x:v>ADD</x:v>
      </x:c>
      <x:c r="D5" s="7" t="str">
        <x:v>P0</x:v>
      </x:c>
      <x:c r="E5" s="7" t="str">
        <x:v>S6</x:v>
      </x:c>
      <x:c r="F5" s="7" t="str">
        <x:v>fuel-bunker-log</x:v>
      </x:c>
      <x:c r="G5" s="7" t="str">
        <x:v>Consumption/delivery/ROB/compliance/evidence</x:v>
      </x:c>
      <x:c r="H5" s="7" t="str">
        <x:v>NOZZLE Operations benchmark</x:v>
      </x:c>
    </x:row>
    <x:row r="6">
      <x:c r="A6" s="7" t="str">
        <x:v>V463-05</x:v>
      </x:c>
      <x:c r="B6" s="7" t="str">
        <x:v>Port Activity / SOF</x:v>
      </x:c>
      <x:c r="C6" s="7" t="str">
        <x:v>ADD</x:v>
      </x:c>
      <x:c r="D6" s="7" t="str">
        <x:v>P1</x:v>
      </x:c>
      <x:c r="E6" s="7" t="str">
        <x:v>S6</x:v>
      </x:c>
      <x:c r="F6" s="7" t="str">
        <x:v>port-activity-sof</x:v>
      </x:c>
      <x:c r="G6" s="7" t="str">
        <x:v>Timestamped vessel activity; not Port OS</x:v>
      </x:c>
      <x:c r="H6" s="7" t="str">
        <x:v>NOZZLE Operations benchmark</x:v>
      </x:c>
    </x:row>
    <x:row r="7">
      <x:c r="A7" s="7" t="str">
        <x:v>V463-06</x:v>
      </x:c>
      <x:c r="B7" s="7" t="str">
        <x:v>Operational Downtime</x:v>
      </x:c>
      <x:c r="C7" s="7" t="str">
        <x:v>ADD</x:v>
      </x:c>
      <x:c r="D7" s="7" t="str">
        <x:v>P1</x:v>
      </x:c>
      <x:c r="E7" s="7" t="str">
        <x:v>S6</x:v>
      </x:c>
      <x:c r="F7" s="7" t="str">
        <x:v>operational-downtime</x:v>
      </x:c>
      <x:c r="G7" s="7" t="str">
        <x:v>Defect/WO/event causal trace + claim evidence</x:v>
      </x:c>
      <x:c r="H7" s="7" t="str">
        <x:v>NOZZLE Loss of Hire benchmark</x:v>
      </x:c>
    </x:row>
    <x:row r="8">
      <x:c r="A8" s="7" t="str">
        <x:v>V463-07</x:v>
      </x:c>
      <x:c r="B8" s="7" t="str">
        <x:v>Service Engineer Report</x:v>
      </x:c>
      <x:c r="C8" s="7" t="str">
        <x:v>ADD</x:v>
      </x:c>
      <x:c r="D8" s="7" t="str">
        <x:v>P1</x:v>
      </x:c>
      <x:c r="E8" s="7" t="str">
        <x:v>S8</x:v>
      </x:c>
      <x:c r="F8" s="7" t="str">
        <x:v>service-engineer-report</x:v>
      </x:c>
      <x:c r="G8" s="7" t="str">
        <x:v>WO/equipment service evidence</x:v>
      </x:c>
      <x:c r="H8" s="7" t="str">
        <x:v>NOZZLE PMS benchmark</x:v>
      </x:c>
    </x:row>
    <x:row r="9">
      <x:c r="A9" s="7" t="str">
        <x:v>V463-08</x:v>
      </x:c>
      <x:c r="B9" s="7" t="str">
        <x:v>Pre-Survey Checklist</x:v>
      </x:c>
      <x:c r="C9" s="7" t="str">
        <x:v>ADD</x:v>
      </x:c>
      <x:c r="D9" s="7" t="str">
        <x:v>P0</x:v>
      </x:c>
      <x:c r="E9" s="7" t="str">
        <x:v>S7</x:v>
      </x:c>
      <x:c r="F9" s="7" t="str">
        <x:v>pre-survey-checklist</x:v>
      </x:c>
      <x:c r="G9" s="7" t="str">
        <x:v>Survey preparation + voyage fit + evidence</x:v>
      </x:c>
      <x:c r="H9" s="7" t="str">
        <x:v>NOZZLE Certificate benchmark</x:v>
      </x:c>
    </x:row>
    <x:row r="10">
      <x:c r="A10" s="7" t="str">
        <x:v>V463-09</x:v>
      </x:c>
      <x:c r="B10" s="7" t="str">
        <x:v>Risk Assessment</x:v>
      </x:c>
      <x:c r="C10" s="7" t="str">
        <x:v>ADD</x:v>
      </x:c>
      <x:c r="D10" s="7" t="str">
        <x:v>P0</x:v>
      </x:c>
      <x:c r="E10" s="7" t="str">
        <x:v>S7</x:v>
      </x:c>
      <x:c r="F10" s="7" t="str">
        <x:v>risk-assessment</x:v>
      </x:c>
      <x:c r="G10" s="7" t="str">
        <x:v>Point-of-work RA + barriers</x:v>
      </x:c>
      <x:c r="H10" s="7" t="str">
        <x:v>NOZZLE RISQ benchmark</x:v>
      </x:c>
    </x:row>
    <x:row r="11">
      <x:c r="A11" s="7" t="str">
        <x:v>V463-10</x:v>
      </x:c>
      <x:c r="B11" s="7" t="str">
        <x:v>Risk Template Library</x:v>
      </x:c>
      <x:c r="C11" s="7" t="str">
        <x:v>ADD</x:v>
      </x:c>
      <x:c r="D11" s="7" t="str">
        <x:v>P0</x:v>
      </x:c>
      <x:c r="E11" s="7" t="str">
        <x:v>S7</x:v>
      </x:c>
      <x:c r="F11" s="7" t="str">
        <x:v>risk-template-library</x:v>
      </x:c>
      <x:c r="G11" s="7" t="str">
        <x:v>Fleet standard + version + crew improvement</x:v>
      </x:c>
      <x:c r="H11" s="7" t="str">
        <x:v>NOZZLE RISQ benchmark</x:v>
      </x:c>
    </x:row>
    <x:row r="12">
      <x:c r="A12" s="7" t="str">
        <x:v>V463-11</x:v>
      </x:c>
      <x:c r="B12" s="7" t="str">
        <x:v>Fleet High-Risk Work</x:v>
      </x:c>
      <x:c r="C12" s="7" t="str">
        <x:v>ADD</x:v>
      </x:c>
      <x:c r="D12" s="7" t="str">
        <x:v>P1</x:v>
      </x:c>
      <x:c r="E12" s="7" t="str">
        <x:v>S8</x:v>
      </x:c>
      <x:c r="F12" s="7" t="str">
        <x:v>high-risk-work</x:v>
      </x:c>
      <x:c r="G12" s="7" t="str">
        <x:v>Fleet exception view</x:v>
      </x:c>
      <x:c r="H12" s="7" t="str">
        <x:v>NOZZLE RISQ benchmark</x:v>
      </x:c>
    </x:row>
    <x:row r="13">
      <x:c r="A13" s="7" t="str">
        <x:v>V463-B1</x:v>
      </x:c>
      <x:c r="B13" s="7" t="str">
        <x:v>Finance/Payroll/Full Procurement/Warehouse/Chartering</x:v>
      </x:c>
      <x:c r="C13" s="7" t="str">
        <x:v>EXCLUDE/INTEGRATE</x:v>
      </x:c>
      <x:c r="D13" s="7" t="str">
        <x:v>P0</x:v>
      </x:c>
      <x:c r="E13" s="7" t="str">
        <x:v>S0</x:v>
      </x:c>
      <x:c r="F13" s="7" t="str">
        <x:v>—</x:v>
      </x:c>
      <x:c r="G13" s="7" t="str">
        <x:v>Explicit architectural boundary</x:v>
      </x:c>
      <x:c r="H13" s="7" t="str">
        <x:v>Do not copy maritime ERP breadth</x:v>
      </x:c>
    </x:row>
  </x:sheetData>
  <x:pageMargins left="0.7" right="0.7" top="0.75" bottom="0.75" header="0.3" footer="0.3"/>
</x:worksheet>
</file>