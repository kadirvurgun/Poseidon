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970ba1825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3c28a23fd8ce4552"/>
    <x:sheet xmlns:r="http://schemas.openxmlformats.org/officeDocument/2006/relationships" name="Alanlar" sheetId="2" r:id="R3175afca0f234389"/>
    <x:sheet xmlns:r="http://schemas.openxmlformats.org/officeDocument/2006/relationships" name="Katalog Yönetimi" sheetId="3" r:id="R4a58483dc1654d98"/>
    <x:sheet xmlns:r="http://schemas.openxmlformats.org/officeDocument/2006/relationships" name="Eşleme Örnekleri" sheetId="4" r:id="R6566ebfcf5a44f09"/>
    <x:sheet xmlns:r="http://schemas.openxmlformats.org/officeDocument/2006/relationships" name="Uygulanabilirlik" sheetId="5" r:id="R7743e1bc08b14887"/>
    <x:sheet xmlns:r="http://schemas.openxmlformats.org/officeDocument/2006/relationships" name="Rakip Kanıtı" sheetId="6" r:id="R3aa9417690a341e0"/>
    <x:sheet xmlns:r="http://schemas.openxmlformats.org/officeDocument/2006/relationships" name="Geçiş ve Kabul" sheetId="7" r:id="R6d98eec4947b44d1"/>
    <x:sheet xmlns:r="http://schemas.openxmlformats.org/officeDocument/2006/relationships" name="Kaynaklar" sheetId="8" r:id="R0e59c9940c9c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8">
    <x:font>
      <x:sz val="11"/>
      <x:name val="Carlito"/>
    </x:font>
    <x:font>
      <x:sz val="10"/>
      <x:color rgb="FF182B49"/>
      <x:name val="Arial"/>
    </x:font>
    <x:font>
      <x:b/>
      <x:sz val="15"/>
      <x:color rgb="FF182B49"/>
      <x:name val="Arial"/>
    </x:font>
    <x:font>
      <x:i/>
      <x:sz val="10"/>
      <x:color rgb="FF5A6676"/>
      <x:name val="Arial"/>
    </x:font>
    <x:font>
      <x:b/>
      <x:sz val="10"/>
      <x:color rgb="FFFFFFFF"/>
      <x:name val="Arial"/>
    </x:font>
    <x:font>
      <x:b/>
      <x:sz val="10"/>
      <x:color rgb="FF243F65"/>
      <x:name val="Arial"/>
    </x:font>
    <x:font>
      <x:b/>
      <x:sz val="12"/>
      <x:color rgb="FF182B49"/>
      <x:name val="Arial"/>
    </x:font>
    <x:font>
      <x:b/>
      <x:sz val="10"/>
      <x:color rgb="FF8E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F65"/>
      </x:patternFill>
    </x:fill>
    <x:fill>
      <x:patternFill patternType="solid">
        <x:fgColor rgb="FFF4F7FA"/>
      </x:patternFill>
    </x:fill>
    <x:fill>
      <x:patternFill patternType="solid">
        <x:fgColor rgb="FFFFF1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3F65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E2525"/>
      </x:font>
      <x:fill>
        <x:patternFill patternType="solid">
          <x:bgColor rgb="FFFB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e9c1df7324c99" /><Relationship Type="http://schemas.openxmlformats.org/officeDocument/2006/relationships/theme" Target="/xl/theme/theme1.xml" Id="Rf50fd8a3e7444734" /><Relationship Type="http://schemas.openxmlformats.org/officeDocument/2006/relationships/sharedStrings" Target="/xl/sharedStrings.xml" Id="R415f6ffce0414335" /><Relationship Type="http://schemas.openxmlformats.org/officeDocument/2006/relationships/worksheet" Target="/xl/worksheets/sheet1.xml" Id="R3c28a23fd8ce4552" /><Relationship Type="http://schemas.openxmlformats.org/officeDocument/2006/relationships/worksheet" Target="/xl/worksheets/sheet2.xml" Id="R3175afca0f234389" /><Relationship Type="http://schemas.openxmlformats.org/officeDocument/2006/relationships/worksheet" Target="/xl/worksheets/sheet3.xml" Id="R4a58483dc1654d98" /><Relationship Type="http://schemas.openxmlformats.org/officeDocument/2006/relationships/worksheet" Target="/xl/worksheets/sheet4.xml" Id="R6566ebfcf5a44f09" /><Relationship Type="http://schemas.openxmlformats.org/officeDocument/2006/relationships/worksheet" Target="/xl/worksheets/sheet5.xml" Id="R7743e1bc08b14887" /><Relationship Type="http://schemas.openxmlformats.org/officeDocument/2006/relationships/worksheet" Target="/xl/worksheets/sheet6.xml" Id="R3aa9417690a341e0" /><Relationship Type="http://schemas.openxmlformats.org/officeDocument/2006/relationships/worksheet" Target="/xl/worksheets/sheet7.xml" Id="R6d98eec4947b44d1" /><Relationship Type="http://schemas.openxmlformats.org/officeDocument/2006/relationships/worksheet" Target="/xl/worksheets/sheet8.xml" Id="R0e59c9940c9c4cd1" /></Relationships>
</file>

<file path=xl/tables/table1.xml><?xml version="1.0" encoding="utf-8"?>
<x:table xmlns:x="http://schemas.openxmlformats.org/spreadsheetml/2006/main" id="8" name="P49_Gates" displayName="P49_Gates" ref="A20:F28" headerRowCount="1" totalsRowCount="0" totalsRowShown="0">
  <x:tableColumns count="6">
    <x:tableColumn id="1" name="Kapı"/>
    <x:tableColumn id="2" name="Karar konusu"/>
    <x:tableColumn id="3" name="Kapanış kanıtı"/>
    <x:tableColumn id="4" name="Karar durumu"/>
    <x:tableColumn id="5" name="Önerilen sorumlu"/>
    <x:tableColumn id="6" name="Kaynak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49_Alanlar0" displayName="P49_Alanlar0" ref="A5:J50" headerRowCount="1" totalsRowCount="0" totalsRowShown="0">
  <x:tableColumns count="10">
    <x:tableColumn id="1" name="Alan ID"/>
    <x:tableColumn id="2" name="Mantıksal ad"/>
    <x:tableColumn id="3" name="TR / EN ad"/>
    <x:tableColumn id="4" name="Mevcut kanıt"/>
    <x:tableColumn id="5" name="Önerilen tür ve doğrulama"/>
    <x:tableColumn id="6" name="Zorunluluk koşulu"/>
    <x:tableColumn id="7" name="Dayanak türü"/>
    <x:tableColumn id="8" name="Kaynak ID"/>
    <x:tableColumn id="9" name="Durum"/>
    <x:tableColumn id="10" name="Kap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49_KatalogYnetimi1" displayName="P49_KatalogYnetimi1" ref="A5:H20" headerRowCount="1" totalsRowCount="0" totalsRowShown="0">
  <x:tableColumns count="8">
    <x:tableColumn id="1" name="Kural ID"/>
    <x:tableColumn id="2" name="Konu"/>
    <x:tableColumn id="3" name="format1 kanıtı"/>
    <x:tableColumn id="4" name="Hedef kural / açık karar"/>
    <x:tableColumn id="5" name="Önerilen sorumlu rol"/>
    <x:tableColumn id="6" name="Kapı"/>
    <x:tableColumn id="7" name="Kaynak ID"/>
    <x:tableColumn id="8" name="Duru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49_Elemernekleri2" displayName="P49_Elemernekleri2" ref="A5:I17" headerRowCount="1" totalsRowCount="0" totalsRowShown="0">
  <x:tableColumns count="9">
    <x:tableColumn id="1" name="Eşleme ID"/>
    <x:tableColumn id="2" name="Kaynak şema / sürüm"/>
    <x:tableColumn id="3" name="Kaynak kod / metin"/>
    <x:tableColumn id="4" name="Hedef şema / sürüm"/>
    <x:tableColumn id="5" name="Hedef kod"/>
    <x:tableColumn id="6" name="İlişki"/>
    <x:tableColumn id="7" name="Koşul ve sınır"/>
    <x:tableColumn id="8" name="İlk geçiş kararı"/>
    <x:tableColumn id="9" name="Kaynak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49_Uygulanabilirlik3" displayName="P49_Uygulanabilirlik3" ref="A5:I15" headerRowCount="1" totalsRowCount="0" totalsRowShown="0">
  <x:tableColumns count="9">
    <x:tableColumn id="1" name="Kural ID"/>
    <x:tableColumn id="2" name="Enstrüman / konu"/>
    <x:tableColumn id="3" name="Kaynakta doğrulanan kapsam"/>
    <x:tableColumn id="4" name="Gerekli bağlam"/>
    <x:tableColumn id="5" name="Yasak kısa yol"/>
    <x:tableColumn id="6" name="Başlangıç durumu"/>
    <x:tableColumn id="7" name="Kapanış kanıtı"/>
    <x:tableColumn id="8" name="Dayanak türü"/>
    <x:tableColumn id="9" name="Kaynak 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P49_RakipKant4" displayName="P49_RakipKant4" ref="A5:H16" headerRowCount="1" totalsRowCount="0" totalsRowShown="0">
  <x:tableColumns count="8">
    <x:tableColumn id="1" name="Bulgu ID"/>
    <x:tableColumn id="2" name="Ürün"/>
    <x:tableColumn id="3" name="Boyut"/>
    <x:tableColumn id="4" name="Seviye"/>
    <x:tableColumn id="5" name="Doğrulanan bulgu"/>
    <x:tableColumn id="6" name="Sınır / doğrulanmayan"/>
    <x:tableColumn id="7" name="POSEIDON ürün kararı"/>
    <x:tableColumn id="8" name="Kaynak 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P49_GeiveKabul5" displayName="P49_GeiveKabul5" ref="A5:K30" headerRowCount="1" totalsRowCount="0" totalsRowShown="0">
  <x:tableColumns count="11">
    <x:tableColumn id="1" name="Vaka ID"/>
    <x:tableColumn id="2" name="Kapı"/>
    <x:tableColumn id="3" name="Konu"/>
    <x:tableColumn id="4" name="Beklenen kanıt / kabul koşulu"/>
    <x:tableColumn id="5" name="Teknik karar"/>
    <x:tableColumn id="6" name="Kanıt kaydı"/>
    <x:tableColumn id="7" name="Yetkili onay"/>
    <x:tableColumn id="8" name="Hesaplanan durum"/>
    <x:tableColumn id="9" name="Önerilen sorumlu"/>
    <x:tableColumn id="10" name="Kaynak ID"/>
    <x:tableColumn id="11" name="Kanıt / karar referansı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P49_Kaynaklar6" displayName="P49_Kaynaklar6" ref="A5:G29" headerRowCount="1" totalsRowCount="0" totalsRowShown="0">
  <x:tableColumns count="7">
    <x:tableColumn id="1" name="Kaynak ID"/>
    <x:tableColumn id="2" name="Kaynak / başlık"/>
    <x:tableColumn id="3" name="Kanıt türü"/>
    <x:tableColumn id="4" name="Erişim tarihi"/>
    <x:tableColumn id="5" name="Kullanılan bulgu"/>
    <x:tableColumn id="6" name="URL / yerel ek kimliği"/>
    <x:tableColumn id="7" name="Sınır / 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dcded9207f45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42637bb64241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9ae10c2fc74a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7eb80919eb41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bbc2aefb724c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9a7a1510ae545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f1556b967cf4d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54e9458aeda405b" /></Relationships>
</file>

<file path=xl/worksheets/sheet1.xml><?xml version="1.0" encoding="utf-8"?>
<x:worksheet xmlns:x="http://schemas.openxmlformats.org/spreadsheetml/2006/main">
  <x:sheetPr>
    <x:tabColor rgb="FF243F65"/>
  </x:sheetPr>
  <x:sheetViews>
    <x:sheetView showGridLines="0" workbookViewId="0"/>
  </x:sheetViews>
  <x:sheetFormatPr defaultRowHeight="15"/>
  <x:cols>
    <x:col min="1" max="1" width="13.5" hidden="0" customWidth="1"/>
    <x:col min="2" max="2" width="26" hidden="0" customWidth="1"/>
    <x:col min="3" max="3" width="34" hidden="0" customWidth="1"/>
    <x:col min="4" max="4" width="14.5" hidden="0" customWidth="1"/>
    <x:col min="5" max="5" width="21" hidden="0" customWidth="1"/>
    <x:col min="6" max="6" width="17" hidden="0" customWidth="1"/>
    <x:col min="7" max="7" width="16" hidden="0" customWidth="1"/>
    <x:col min="8" max="8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POSEIDON v26 alan standardizasyonu önerisi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5" t="str">
        <x:v>49.02  •  Kontrollü set v46.3  •  29.10.2026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8" customHeight="1">
      <x:c r="A6" s="7" t="str">
        <x:v>Gösterge</x:v>
      </x:c>
      <x:c r="B6" s="7" t="str">
        <x:v>Değer</x:v>
      </x:c>
      <x:c r="C6" s="7" t="str">
        <x:v>Anlam</x:v>
      </x:c>
      <x:c r="D6" s="7" t="str">
        <x:v>Kanıt</x:v>
      </x:c>
      <x:c r="E6" s="2"/>
      <x:c r="F6" s="18" t="str">
        <x:v>Karar sınırı</x:v>
      </x:c>
      <x:c r="G6" s="2"/>
      <x:c r="H6" s="2"/>
    </x:row>
    <x:row r="7" ht="34.5" customHeight="1">
      <x:c r="A7" s="10" t="str">
        <x:v>Mantıksal alan</x:v>
      </x:c>
      <x:c r="B7" s="17" t="n">
        <x:f>COUNTA('Alanlar'!A6:A50)</x:f>
        <x:v>45</x:v>
      </x:c>
      <x:c r="C7" s="10" t="str">
        <x:v>Yeni sözlük satırları. Tam ürün veri sözlüğü değil.</x:v>
      </x:c>
      <x:c r="D7" s="10" t="str">
        <x:v>Alanlar</x:v>
      </x:c>
      <x:c r="E7" s="2"/>
      <x:c r="F7" s="10" t="str">
        <x:v>Bu dosya PROPOSED. Gerçek katalog, üretim seed veya uygulama değildir.</x:v>
      </x:c>
      <x:c r="G7" s="10"/>
      <x:c r="H7" s="10"/>
    </x:row>
    <x:row r="8" ht="34.5" customHeight="1">
      <x:c r="A8" s="10" t="str">
        <x:v>Katalog kuralı</x:v>
      </x:c>
      <x:c r="B8" s="17" t="n">
        <x:f>COUNTA('Katalog Yönetimi'!A6:A20)</x:f>
        <x:v>15</x:v>
      </x:c>
      <x:c r="C8" s="10" t="str">
        <x:v>Şema/yayın yönetişimi önerileri.</x:v>
      </x:c>
      <x:c r="D8" s="10" t="str">
        <x:v>Katalog Yönetimi</x:v>
      </x:c>
      <x:c r="E8" s="2"/>
      <x:c r="F8" s="10" t="str">
        <x:v>Bayrak idaresi ≠ ISO ülke kodu ≠ sicil ≠ sicil limanı.</x:v>
      </x:c>
      <x:c r="G8" s="10"/>
      <x:c r="H8" s="10"/>
    </x:row>
    <x:row r="9" ht="34.5" customHeight="1">
      <x:c r="A9" s="10" t="str">
        <x:v>Eşleme örneği</x:v>
      </x:c>
      <x:c r="B9" s="17" t="n">
        <x:f>COUNTA('Eşleme Örnekleri'!A6:A17)</x:f>
        <x:v>12</x:v>
      </x:c>
      <x:c r="C9" s="10" t="str">
        <x:v>Üretim mapping veya seed değil.</x:v>
      </x:c>
      <x:c r="D9" s="10" t="str">
        <x:v>Eşleme Örnekleri</x:v>
      </x:c>
      <x:c r="E9" s="2"/>
      <x:c r="F9" s="10" t="str">
        <x:v>Ürün tipi ≠ ulusal sicil cinsi ≠ AIS kodu ≠ mevzuat sınıfı.</x:v>
      </x:c>
      <x:c r="G9" s="10"/>
      <x:c r="H9" s="10"/>
    </x:row>
    <x:row r="10" ht="34.5" customHeight="1">
      <x:c r="A10" s="10" t="str">
        <x:v>Kabul vakası</x:v>
      </x:c>
      <x:c r="B10" s="17" t="n">
        <x:f>COUNTA('Geçiş ve Kabul'!A6:A30)</x:f>
        <x:v>25</x:v>
      </x:c>
      <x:c r="C10" s="10" t="str">
        <x:v>Uygulanacak yeni kabul koşulları.</x:v>
      </x:c>
      <x:c r="D10" s="10" t="str">
        <x:v>Geçiş ve Kabul</x:v>
      </x:c>
      <x:c r="E10" s="2"/>
      <x:c r="F10" s="10" t="str">
        <x:v>İlk geçişte otomatik atama yok. TR/EN alias yalnız arama içindir.</x:v>
      </x:c>
      <x:c r="G10" s="10"/>
      <x:c r="H10" s="10"/>
    </x:row>
    <x:row r="11" ht="34.5" customHeight="1">
      <x:c r="A11" s="10" t="str">
        <x:v>Kapanan vaka</x:v>
      </x:c>
      <x:c r="B11" s="17" t="n">
        <x:f>COUNTIFS('Geçiş ve Kabul'!H6:H30,"Tamam")</x:f>
        <x:v>0</x:v>
      </x:c>
      <x:c r="C11" s="10" t="str">
        <x:v>Teknik karar, kanıt, onay ve referansı tamam olan satır.</x:v>
      </x:c>
      <x:c r="D11" s="10" t="str">
        <x:v>Geçiş ve Kabul</x:v>
      </x:c>
      <x:c r="E11" s="2"/>
      <x:c r="F11" s="10" t="str">
        <x:v>T01 format1 dar SYN modelidir. Zengin mantıksal şema ayrı sürüm ve yeni test ister.</x:v>
      </x:c>
      <x:c r="G11" s="10"/>
      <x:c r="H11" s="10"/>
    </x:row>
    <x:row r="12" ht="34.5" customHeight="1">
      <x:c r="A12" s="10" t="str">
        <x:v>Açık kapı</x:v>
      </x:c>
      <x:c r="B12" s="17" t="n">
        <x:f>COUNTA(A21:A28)-COUNTIFS(D21:D28,"Onaylandı")</x:f>
        <x:v>8</x:v>
      </x:c>
      <x:c r="C12" s="10" t="str">
        <x:v>Onaysız, reddedilmiş veya boş kararlar açık kalır.</x:v>
      </x:c>
      <x:c r="D12" s="10" t="str">
        <x:v>Bu sayfa</x:v>
      </x:c>
      <x:c r="E12" s="2"/>
      <x:c r="F12" s="10" t="str">
        <x:v>API v3 ve409/replay önceliği çözülmüş sayılmaz. Eski exact metin anlamı korunur.</x:v>
      </x:c>
      <x:c r="G12" s="10"/>
      <x:c r="H12" s="10"/>
    </x:row>
    <x:row r="13" ht="34.5" customHeight="1">
      <x:c r="A13" s="10" t="str">
        <x:v>Kaynak açığı satırı</x:v>
      </x:c>
      <x:c r="B13" s="17" t="n">
        <x:v>518</x:v>
      </x:c>
      <x:c r="C13" s="10" t="str">
        <x:v>518 farklı sınıf değil. Kanonik kaynak sayacı.</x:v>
      </x:c>
      <x:c r="D13" s="10" t="str">
        <x:v>E01</x:v>
      </x:c>
      <x:c r="E13" s="2"/>
      <x:c r="F13" s="10" t="str">
        <x:v>14.02 v3 kaynağı değiştirilmedi.518/191/0 sayaçları yeni alan sayısı değildir.</x:v>
      </x:c>
      <x:c r="G13" s="10"/>
      <x:c r="H13" s="10"/>
    </x:row>
    <x:row r="14" ht="34.5" customHeight="1">
      <x:c r="A14" s="10" t="str">
        <x:v>Unresolved</x:v>
      </x:c>
      <x:c r="B14" s="17" t="n">
        <x:v>191</x:v>
      </x:c>
      <x:c r="C14" s="10" t="str">
        <x:v>Mevcut kaynakta çözülmemiş satır sayısı.</x:v>
      </x:c>
      <x:c r="D14" s="10" t="str">
        <x:v>E01</x:v>
      </x:c>
      <x:c r="E14" s="2"/>
      <x:c r="F14" s="10" t="str">
        <x:v>Mevcut7 hane IMO doğrulaması korunur. Gelecek8 hane etkin değildir.</x:v>
      </x:c>
      <x:c r="G14" s="10"/>
      <x:c r="H14" s="10"/>
    </x:row>
    <x:row r="15" ht="34.5" customHeight="1">
      <x:c r="A15" s="10" t="str">
        <x:v>Production closed</x:v>
      </x:c>
      <x:c r="B15" s="17" t="n">
        <x:v>0</x:v>
      </x:c>
      <x:c r="C15" s="10" t="str">
        <x:v>Kanonik kaynakta production lookup kapanışı.</x:v>
      </x:c>
      <x:c r="D15" s="10" t="str">
        <x:v>E01</x:v>
      </x:c>
      <x:c r="E15" s="2"/>
      <x:c r="F15" s="2"/>
      <x:c r="G15" s="2"/>
      <x:c r="H15" s="2"/>
    </x:row>
    <x:row r="16" ht="34.5" customHeight="1">
      <x:c r="A16" s="10" t="str">
        <x:v>SYN test PASS</x:v>
      </x:c>
      <x:c r="B16" s="17" t="n">
        <x:v>12</x:v>
      </x:c>
      <x:c r="C16" s="10" t="str">
        <x:v>Kaynak üreticinin dar model sonucu. Burada koşulmadı.</x:v>
      </x:c>
      <x:c r="D16" s="10" t="str">
        <x:v>T01</x:v>
      </x:c>
      <x:c r="E16" s="2"/>
      <x:c r="F16" s="2"/>
      <x:c r="G16" s="2"/>
      <x:c r="H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19" t="str">
        <x:v>Üretim öncesi açık karar kapıları</x:v>
      </x:c>
      <x:c r="B19" s="2"/>
      <x:c r="C19" s="2"/>
      <x:c r="D19" s="2"/>
      <x:c r="E19" s="2"/>
      <x:c r="F19" s="2"/>
      <x:c r="G19" s="2"/>
      <x:c r="H19" s="2"/>
    </x:row>
    <x:row r="20" ht="28" customHeight="1">
      <x:c r="A20" s="8" t="str">
        <x:v>Kapı</x:v>
      </x:c>
      <x:c r="B20" s="8" t="str">
        <x:v>Karar konusu</x:v>
      </x:c>
      <x:c r="C20" s="8" t="str">
        <x:v>Kapanış kanıtı</x:v>
      </x:c>
      <x:c r="D20" s="8" t="str">
        <x:v>Karar durumu</x:v>
      </x:c>
      <x:c r="E20" s="8" t="str">
        <x:v>Önerilen sorumlu</x:v>
      </x:c>
      <x:c r="F20" s="8" t="str">
        <x:v>Kaynak ID</x:v>
      </x:c>
      <x:c r="G20" s="2"/>
      <x:c r="H20" s="2"/>
    </x:row>
    <x:row r="21" ht="47.25" customHeight="1">
      <x:c r="A21" s="10" t="str">
        <x:v>G01</x:v>
      </x:c>
      <x:c r="B21" s="10" t="str">
        <x:v>Katalog kapsamı ve lisans</x:v>
      </x:c>
      <x:c r="C21" s="10" t="str">
        <x:v>Bayrak/idare ve ürün taksonomisi, veri sahibi, TR/EN, lisans, snapshot.</x:v>
      </x:c>
      <x:c r="D21" s="20" t="str">
        <x:v>Bekliyor</x:v>
      </x:c>
      <x:c r="E21" s="10" t="str">
        <x:v>Ürün + veri sahibi</x:v>
      </x:c>
      <x:c r="F21" s="10" t="str">
        <x:v>S1–S9, T01</x:v>
      </x:c>
      <x:c r="G21" s="2"/>
      <x:c r="H21" s="2"/>
    </x:row>
    <x:row r="22" ht="47.25" customHeight="1">
      <x:c r="A22" s="10" t="str">
        <x:v>G02</x:v>
      </x:c>
      <x:c r="B22" s="10" t="str">
        <x:v>Hukuki kapsam</x:v>
      </x:c>
      <x:c r="C22" s="10" t="str">
        <x:v>Gemi bağlamı ve madde bazlı hukuk/klas incelemesi.</x:v>
      </x:c>
      <x:c r="D22" s="20" t="str">
        <x:v>Bekliyor</x:v>
      </x:c>
      <x:c r="E22" s="10" t="str">
        <x:v>Hukuk + klas</x:v>
      </x:c>
      <x:c r="F22" s="10" t="str">
        <x:v>S1, S8–S15</x:v>
      </x:c>
      <x:c r="G22" s="2"/>
      <x:c r="H22" s="2"/>
    </x:row>
    <x:row r="23" ht="47.25" customHeight="1">
      <x:c r="A23" s="10" t="str">
        <x:v>G03</x:v>
      </x:c>
      <x:c r="B23" s="10" t="str">
        <x:v>Sürümlü şema ve yeni testler</x:v>
      </x:c>
      <x:c r="C23" s="10" t="str">
        <x:v>format1 dar SYN modeliyle hedef mantıksal genişletmeyi ayır.</x:v>
      </x:c>
      <x:c r="D23" s="20" t="str">
        <x:v>Bekliyor</x:v>
      </x:c>
      <x:c r="E23" s="10" t="str">
        <x:v>Mimari + QA</x:v>
      </x:c>
      <x:c r="F23" s="10" t="str">
        <x:v>T01</x:v>
      </x:c>
      <x:c r="G23" s="2"/>
      <x:c r="H23" s="2"/>
    </x:row>
    <x:row r="24" ht="47.25" customHeight="1">
      <x:c r="A24" s="10" t="str">
        <x:v>G04</x:v>
      </x:c>
      <x:c r="B24" s="10" t="str">
        <x:v>API ve eski istemci uyumu</x:v>
      </x:c>
      <x:c r="C24" s="10" t="str">
        <x:v>Yeni v3 sözleşme; legacy metin anlamı;409/replay önceliği ve DB writer.</x:v>
      </x:c>
      <x:c r="D24" s="20" t="str">
        <x:v>Bekliyor</x:v>
      </x:c>
      <x:c r="E24" s="10" t="str">
        <x:v>API + DB + QA</x:v>
      </x:c>
      <x:c r="F24" s="10" t="str">
        <x:v>T01</x:v>
      </x:c>
      <x:c r="G24" s="2"/>
      <x:c r="H24" s="2"/>
    </x:row>
    <x:row r="25" ht="47.25" customHeight="1">
      <x:c r="A25" s="10" t="str">
        <x:v>G05</x:v>
      </x:c>
      <x:c r="B25" s="10" t="str">
        <x:v>İnsan onaylı geçiş</x:v>
      </x:c>
      <x:c r="C25" s="10" t="str">
        <x:v>İlk geçiş otomatik atama yok. Ham veri, tarihçe, dry-run ve rollback.</x:v>
      </x:c>
      <x:c r="D25" s="20" t="str">
        <x:v>Bekliyor</x:v>
      </x:c>
      <x:c r="E25" s="10" t="str">
        <x:v>Veri sahibi</x:v>
      </x:c>
      <x:c r="F25" s="10" t="str">
        <x:v>T01, E01</x:v>
      </x:c>
      <x:c r="G25" s="2"/>
      <x:c r="H25" s="2"/>
    </x:row>
    <x:row r="26" ht="47.25" customHeight="1">
      <x:c r="A26" s="10" t="str">
        <x:v>G06</x:v>
      </x:c>
      <x:c r="B26" s="10" t="str">
        <x:v>Güvenlik ve kalıcılık</x:v>
      </x:c>
      <x:c r="C26" s="10" t="str">
        <x:v>Scope,CSRF,If-Match,idempotency,uncertain keys,closure persistence.</x:v>
      </x:c>
      <x:c r="D26" s="20" t="str">
        <x:v>Bekliyor</x:v>
      </x:c>
      <x:c r="E26" s="10" t="str">
        <x:v>Güvenlik + QA</x:v>
      </x:c>
      <x:c r="F26" s="10" t="str">
        <x:v>T01</x:v>
      </x:c>
      <x:c r="G26" s="2"/>
      <x:c r="H26" s="2"/>
    </x:row>
    <x:row r="27" ht="47.25" customHeight="1">
      <x:c r="A27" s="10" t="str">
        <x:v>G07</x:v>
      </x:c>
      <x:c r="B27" s="10" t="str">
        <x:v>Erişilebilir UX</x:v>
      </x:c>
      <x:c r="C27" s="10" t="str">
        <x:v>Form/filtre kaynak birliği,klavye,TR arama,mobil ve dirty-scope.</x:v>
      </x:c>
      <x:c r="D27" s="20" t="str">
        <x:v>Bekliyor</x:v>
      </x:c>
      <x:c r="E27" s="10" t="str">
        <x:v>UX + QA</x:v>
      </x:c>
      <x:c r="F27" s="10" t="str">
        <x:v>T01, C01–C07</x:v>
      </x:c>
      <x:c r="G27" s="2"/>
      <x:c r="H27" s="2"/>
    </x:row>
    <x:row r="28" ht="47.25" customHeight="1">
      <x:c r="A28" s="10" t="str">
        <x:v>G08</x:v>
      </x:c>
      <x:c r="B28" s="10" t="str">
        <x:v>Self-hosted ve release</x:v>
      </x:c>
      <x:c r="C28" s="10" t="str">
        <x:v>Sürüm/lisans/hash,offline eskime,rollback,UAT ve yetkili release onayı.</x:v>
      </x:c>
      <x:c r="D28" s="20" t="str">
        <x:v>Bekliyor</x:v>
      </x:c>
      <x:c r="E28" s="10" t="str">
        <x:v>Release + ürün</x:v>
      </x:c>
      <x:c r="F28" s="10" t="str">
        <x:v>T01</x:v>
      </x:c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 t="str">
        <x:v>Düzenleme kuralı</x:v>
      </x:c>
      <x:c r="B31" s="2" t="str">
        <x:v>Sarı hücreler karar/kanıt kaydı içindir. Diğer tablolar da düzenlenebilir.</x:v>
      </x:c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 t="str">
        <x:v>Üretim durumu</x:v>
      </x:c>
      <x:c r="B33" s="21" t="str">
        <x:v>UYGULANMADI</x:v>
      </x:c>
      <x:c r="C33" s="2"/>
      <x:c r="D33" s="2"/>
      <x:c r="E33" s="2"/>
      <x:c r="F33" s="2"/>
      <x:c r="G33" s="2"/>
      <x:c r="H33" s="2"/>
    </x:row>
    <x:row r="34" ht="23" customHeight="1">
      <x:c r="A34" s="2"/>
      <x:c r="B34" s="2" t="str">
        <x:v>Sayaç veya hücre onayı runtime yayını yapmaz. Ayrı yetkili release kararı gerekir.</x:v>
      </x:c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 t="str">
        <x:v>Kanonik kaynak</x:v>
      </x:c>
      <x:c r="B36" s="2" t="str">
        <x:v>14.02 v3, SHA256 3b30f8e…e4018. Ayrıntı E01.</x:v>
      </x:c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 t="str">
        <x:v>Temel ürün</x:v>
      </x:c>
      <x:c r="B38" s="2" t="str">
        <x:v>dd504631;151 kaynak dosyası değişmeden kalır. Yeni doküman önerisi.</x:v>
      </x:c>
      <x:c r="C38" s="2"/>
      <x:c r="D38" s="2"/>
      <x:c r="E38" s="2"/>
      <x:c r="F38" s="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</x:sheetData>
  <x:mergeCells>
    <x:mergeCell ref="F7:H7"/>
    <x:mergeCell ref="F8:H8"/>
    <x:mergeCell ref="F9:H9"/>
    <x:mergeCell ref="F10:H10"/>
    <x:mergeCell ref="F11:H11"/>
    <x:mergeCell ref="F12:H12"/>
    <x:mergeCell ref="F13:H13"/>
    <x:mergeCell ref="F14:H14"/>
  </x:mergeCells>
  <x:dataValidations count="1">
    <x:dataValidation type="list" sqref="D21:D28">
      <x:formula1>"Bekliyor,Onaylandı,Reddedildi"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dcded9207f45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199999809265137" hidden="0" customWidth="1"/>
    <x:col min="2" max="2" width="22.799999237060547" hidden="0" customWidth="1"/>
    <x:col min="3" max="3" width="21" hidden="0" customWidth="1"/>
    <x:col min="4" max="4" width="28" hidden="0" customWidth="1"/>
    <x:col min="5" max="5" width="36" hidden="0" customWidth="1"/>
    <x:col min="6" max="6" width="24" hidden="0" customWidth="1"/>
    <x:col min="7" max="7" width="14.5" hidden="0" customWidth="1"/>
    <x:col min="8" max="8" width="11" hidden="0" customWidth="1"/>
    <x:col min="9" max="9" width="9" hidden="0" customWidth="1"/>
    <x:col min="10" max="10" width="1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Bayrak ve gemi tipi alan sözlüğü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5" t="str">
        <x:v>Mantıksal hedef model. Zorunluluklar ürün önerisidir; tek başına yasal yükümlülük değildir.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9" t="str">
        <x:v>Alan ID</x:v>
      </x:c>
      <x:c r="B5" s="9" t="str">
        <x:v>Mantıksal ad</x:v>
      </x:c>
      <x:c r="C5" s="9" t="str">
        <x:v>TR / EN ad</x:v>
      </x:c>
      <x:c r="D5" s="9" t="str">
        <x:v>Mevcut kanıt</x:v>
      </x:c>
      <x:c r="E5" s="9" t="str">
        <x:v>Önerilen tür ve doğrulama</x:v>
      </x:c>
      <x:c r="F5" s="9" t="str">
        <x:v>Zorunluluk koşulu</x:v>
      </x:c>
      <x:c r="G5" s="9" t="str">
        <x:v>Dayanak türü</x:v>
      </x:c>
      <x:c r="H5" s="9" t="str">
        <x:v>Kaynak ID</x:v>
      </x:c>
      <x:c r="I5" s="9" t="str">
        <x:v>Durum</x:v>
      </x:c>
      <x:c r="J5" s="9" t="str">
        <x:v>Kapı</x:v>
      </x:c>
    </x:row>
    <x:row r="6" ht="48" customHeight="1">
      <x:c r="A6" s="11" t="str">
        <x:v>F01</x:v>
      </x:c>
      <x:c r="B6" s="11" t="str">
        <x:v>flag_administration_id</x:v>
      </x:c>
      <x:c r="C6" s="11" t="str">
        <x:v>Bayrak idaresi / Flag administration</x:v>
      </x:c>
      <x:c r="D6" s="11" t="str">
        <x:v>flag: Generic State / derived. 14.02 satır259, index257. Hatalı sınıflama; source unresolved satır46.</x:v>
      </x:c>
      <x:c r="E6" s="11" t="str">
        <x:v>Değişmez ürün kimliğine FK. Belge ve tarih aralığıyla doğrula. ISO ülke kodu değildir.</x:v>
      </x:c>
      <x:c r="F6" s="11" t="str">
        <x:v>Yeni RECORDED: açık seçim önerisi. DRAFT: boş olabilir.</x:v>
      </x:c>
      <x:c r="G6" s="11" t="str">
        <x:v>Ürün önerisi</x:v>
      </x:c>
      <x:c r="H6" s="11" t="str">
        <x:v>S1, S2, E01, T01</x:v>
      </x:c>
      <x:c r="I6" s="11" t="str">
        <x:v>ÖNERİ</x:v>
      </x:c>
      <x:c r="J6" s="11" t="str">
        <x:v>G01, G02, G04</x:v>
      </x:c>
    </x:row>
    <x:row r="7" ht="35.25" customHeight="1">
      <x:c r="A7" s="12" t="str">
        <x:v>F02</x:v>
      </x:c>
      <x:c r="B7" s="12" t="str">
        <x:v>flag_country_iso2</x:v>
      </x:c>
      <x:c r="C7" s="12" t="str">
        <x:v>Bayrak ülke kodu / ISO country</x:v>
      </x:c>
      <x:c r="D7" s="12" t="str">
        <x:v>Bu ayrım mevcut kaynakta doğrulanmadı.</x:v>
      </x:c>
      <x:c r="E7" s="12" t="str">
        <x:v>İsteğe bağlı ISO 3166-1 alpha-2 ilişkisi. Bayrak yetkisi veya sicil izni çıkarılmaz.</x:v>
      </x:c>
      <x:c r="F7" s="12" t="str">
        <x:v>İdare ilişkisi varsa. Sahte unknown kodu yok.</x:v>
      </x:c>
      <x:c r="G7" s="12" t="str">
        <x:v>Standart ilişkisi</x:v>
      </x:c>
      <x:c r="H7" s="12" t="str">
        <x:v>S1, S2</x:v>
      </x:c>
      <x:c r="I7" s="12" t="str">
        <x:v>ÖNERİ</x:v>
      </x:c>
      <x:c r="J7" s="12" t="str">
        <x:v>G01, G02</x:v>
      </x:c>
    </x:row>
    <x:row r="8" ht="35.25" customHeight="1">
      <x:c r="A8" s="11" t="str">
        <x:v>F03</x:v>
      </x:c>
      <x:c r="B8" s="11" t="str">
        <x:v>registry_id</x:v>
      </x:c>
      <x:c r="C8" s="11" t="str">
        <x:v>Gemi sicili / Ship registry</x:v>
      </x:c>
      <x:c r="D8" s="11" t="str">
        <x:v>Ayrı kontrollü sicil kataloğu doğrulanmadı.</x:v>
      </x:c>
      <x:c r="E8" s="11" t="str">
        <x:v>FK. Aynı ülkede farklı sicil rejimlerini ayırır. Bareboat ilişkisi uzman incelemeli.</x:v>
      </x:c>
      <x:c r="F8" s="11" t="str">
        <x:v>Kayıt belgesi varsa.</x:v>
      </x:c>
      <x:c r="G8" s="11" t="str">
        <x:v>Hukuki bağlam</x:v>
      </x:c>
      <x:c r="H8" s="11" t="str">
        <x:v>S1, S8</x:v>
      </x:c>
      <x:c r="I8" s="11" t="str">
        <x:v>ÖNERİ</x:v>
      </x:c>
      <x:c r="J8" s="11" t="str">
        <x:v>G02</x:v>
      </x:c>
    </x:row>
    <x:row r="9" ht="35.25" customHeight="1">
      <x:c r="A9" s="12" t="str">
        <x:v>F04</x:v>
      </x:c>
      <x:c r="B9" s="12" t="str">
        <x:v>registry_number</x:v>
      </x:c>
      <x:c r="C9" s="12" t="str">
        <x:v>Sicil numarası / Registry number</x:v>
      </x:c>
      <x:c r="D9" s="12" t="str">
        <x:v>Bu alana ilişkin kapsam doğrulanmadı.</x:v>
      </x:c>
      <x:c r="E9" s="12" t="str">
        <x:v>String. Baş sıfırlar korunur. IMO numarası yerine kullanılamaz.</x:v>
      </x:c>
      <x:c r="F9" s="12" t="str">
        <x:v>İlgili sicil belgesi varsa.</x:v>
      </x:c>
      <x:c r="G9" s="12" t="str">
        <x:v>Hukuki bağlam</x:v>
      </x:c>
      <x:c r="H9" s="12" t="str">
        <x:v>S1, S8</x:v>
      </x:c>
      <x:c r="I9" s="12" t="str">
        <x:v>ÖNERİ</x:v>
      </x:c>
      <x:c r="J9" s="12" t="str">
        <x:v>G02</x:v>
      </x:c>
    </x:row>
    <x:row r="10" ht="35.25" customHeight="1">
      <x:c r="A10" s="11" t="str">
        <x:v>F05</x:v>
      </x:c>
      <x:c r="B10" s="11" t="str">
        <x:v>port_of_registry_id</x:v>
      </x:c>
      <x:c r="C10" s="11" t="str">
        <x:v>Sicil limanı / Port of registry</x:v>
      </x:c>
      <x:c r="D10" s="11" t="str">
        <x:v>Bayraktan ayrı kontrol doğrulanmadı.</x:v>
      </x:c>
      <x:c r="E10" s="11" t="str">
        <x:v>FK + özgün belge metni. Güncel liman/operasyon üssünden ayrı.</x:v>
      </x:c>
      <x:c r="F10" s="11" t="str">
        <x:v>Sicil belgesi gerektiriyorsa.</x:v>
      </x:c>
      <x:c r="G10" s="11" t="str">
        <x:v>Ürün önerisi</x:v>
      </x:c>
      <x:c r="H10" s="11" t="str">
        <x:v>S1, C01</x:v>
      </x:c>
      <x:c r="I10" s="11" t="str">
        <x:v>ÖNERİ</x:v>
      </x:c>
      <x:c r="J10" s="11" t="str">
        <x:v>G01, G02</x:v>
      </x:c>
    </x:row>
    <x:row r="11" ht="48" customHeight="1">
      <x:c r="A11" s="12" t="str">
        <x:v>F06</x:v>
      </x:c>
      <x:c r="B11" s="12" t="str">
        <x:v>registry_status</x:v>
      </x:c>
      <x:c r="C11" s="12" t="str">
        <x:v>Otoritenin sicil durumu / Registry status</x:v>
      </x:c>
      <x:c r="D11" s="12" t="str">
        <x:v>R-P2-01: araştırmadaki verification karışımı bu taslakta düzeltildi.</x:v>
      </x:c>
      <x:c r="E11" s="12" t="str">
        <x:v>Otoritenin ham durum metni/kodu + jurisdiction/scheme/version/etkin tarihler. İsteğe bağlı mapped status ayrı onay ister. verified/pending bu alana yazılmaz.</x:v>
      </x:c>
      <x:c r="F11" s="12" t="str">
        <x:v>Otorite beyanı varsa. Doğrulama durumu ayrı F45.</x:v>
      </x:c>
      <x:c r="G11" s="12" t="str">
        <x:v>Hukuki beyan</x:v>
      </x:c>
      <x:c r="H11" s="12" t="str">
        <x:v>S1, S8, E01</x:v>
      </x:c>
      <x:c r="I11" s="12" t="str">
        <x:v>ÖNERİ</x:v>
      </x:c>
      <x:c r="J11" s="12" t="str">
        <x:v>G02, R-P2-01</x:v>
      </x:c>
    </x:row>
    <x:row r="12" ht="35.25" customHeight="1">
      <x:c r="A12" s="11" t="str">
        <x:v>F07</x:v>
      </x:c>
      <x:c r="B12" s="11" t="str">
        <x:v>flag_valid_from</x:v>
      </x:c>
      <x:c r="C12" s="11" t="str">
        <x:v>Bayrak başlangıcı / Valid from</x:v>
      </x:c>
      <x:c r="D12" s="11" t="str">
        <x:v>Tarihçeli bayrak ataması doğrulanmadı.</x:v>
      </x:c>
      <x:c r="E12" s="11" t="str">
        <x:v>Date. Bayrak hakkının belgeye dayalı başlangıcı; kayıt zamanı ayrı.</x:v>
      </x:c>
      <x:c r="F12" s="11" t="str">
        <x:v>Doğrulanmış dönem için gerekli.</x:v>
      </x:c>
      <x:c r="G12" s="11" t="str">
        <x:v>Hukuki bağlam</x:v>
      </x:c>
      <x:c r="H12" s="11" t="str">
        <x:v>S1</x:v>
      </x:c>
      <x:c r="I12" s="11" t="str">
        <x:v>ÖNERİ</x:v>
      </x:c>
      <x:c r="J12" s="11" t="str">
        <x:v>G02, G05</x:v>
      </x:c>
    </x:row>
    <x:row r="13" ht="35.25" customHeight="1">
      <x:c r="A13" s="12" t="str">
        <x:v>F08</x:v>
      </x:c>
      <x:c r="B13" s="12" t="str">
        <x:v>flag_valid_to</x:v>
      </x:c>
      <x:c r="C13" s="12" t="str">
        <x:v>Bayrak bitişi / Valid to</x:v>
      </x:c>
      <x:c r="D13" s="12" t="str">
        <x:v>Tarihçeli bayrak ataması doğrulanmadı.</x:v>
      </x:c>
      <x:c r="E13" s="12" t="str">
        <x:v>Nullable date. Null, süresiz hukuki hak demek değildir. Çakışan etkin hak uzman kapısında.</x:v>
      </x:c>
      <x:c r="F13" s="12" t="str">
        <x:v>Bitiş biliniyorsa.</x:v>
      </x:c>
      <x:c r="G13" s="12" t="str">
        <x:v>Hukuki bağlam</x:v>
      </x:c>
      <x:c r="H13" s="12" t="str">
        <x:v>S1, T01</x:v>
      </x:c>
      <x:c r="I13" s="12" t="str">
        <x:v>ÖNERİ</x:v>
      </x:c>
      <x:c r="J13" s="12" t="str">
        <x:v>G02, G05</x:v>
      </x:c>
    </x:row>
    <x:row r="14" ht="35.25" customHeight="1">
      <x:c r="A14" s="11" t="str">
        <x:v>F09</x:v>
      </x:c>
      <x:c r="B14" s="11" t="str">
        <x:v>evidence_document_id</x:v>
      </x:c>
      <x:c r="C14" s="11" t="str">
        <x:v>Dayanak belge / Evidence document</x:v>
      </x:c>
      <x:c r="D14" s="11" t="str">
        <x:v>Belge ilişkisi bu alan değişikliği için doğrulanmadı.</x:v>
      </x:c>
      <x:c r="E14" s="11" t="str">
        <x:v>Belge referansı. Sürüm/hash, erişim kapsamı ve geçerlilik korunur.</x:v>
      </x:c>
      <x:c r="F14" s="11" t="str">
        <x:v>Doğrulanmış atama için.</x:v>
      </x:c>
      <x:c r="G14" s="11" t="str">
        <x:v>Ürün önerisi</x:v>
      </x:c>
      <x:c r="H14" s="11" t="str">
        <x:v>S1, S8, S9</x:v>
      </x:c>
      <x:c r="I14" s="11" t="str">
        <x:v>ÖNERİ</x:v>
      </x:c>
      <x:c r="J14" s="11" t="str">
        <x:v>G02, G06</x:v>
      </x:c>
    </x:row>
    <x:row r="15" ht="35.25" customHeight="1">
      <x:c r="A15" s="12" t="str">
        <x:v>F10</x:v>
      </x:c>
      <x:c r="B15" s="12" t="str">
        <x:v>verified_at</x:v>
      </x:c>
      <x:c r="C15" s="12" t="str">
        <x:v>Doğrulama zamanı / Verified at</x:v>
      </x:c>
      <x:c r="D15" s="12" t="str">
        <x:v>Yeni alan önerisi.</x:v>
      </x:c>
      <x:c r="E15" s="12" t="str">
        <x:v>UTC timestamp. Belge tarihi veya etkinlik tarihiyle karıştırılmaz.</x:v>
      </x:c>
      <x:c r="F15" s="12" t="str">
        <x:v>verified durumunda.</x:v>
      </x:c>
      <x:c r="G15" s="12" t="str">
        <x:v>Ürün önerisi</x:v>
      </x:c>
      <x:c r="H15" s="12" t="str">
        <x:v>S1</x:v>
      </x:c>
      <x:c r="I15" s="12" t="str">
        <x:v>ÖNERİ</x:v>
      </x:c>
      <x:c r="J15" s="12" t="str">
        <x:v>G02</x:v>
      </x:c>
    </x:row>
    <x:row r="16" ht="35.25" customHeight="1">
      <x:c r="A16" s="11" t="str">
        <x:v>F11</x:v>
      </x:c>
      <x:c r="B16" s="11" t="str">
        <x:v>verified_by</x:v>
      </x:c>
      <x:c r="C16" s="11" t="str">
        <x:v>Doğrulayan referansı / Reviewer ref</x:v>
      </x:c>
      <x:c r="D16" s="11" t="str">
        <x:v>Yeni alan önerisi. Kişisel veri örneği yok.</x:v>
      </x:c>
      <x:c r="E16" s="11" t="str">
        <x:v>Yetkili rol/kullanıcı referansı. Yetki kaydı ve gerekçe.</x:v>
      </x:c>
      <x:c r="F16" s="11" t="str">
        <x:v>verified durumunda.</x:v>
      </x:c>
      <x:c r="G16" s="11" t="str">
        <x:v>Ürün önerisi</x:v>
      </x:c>
      <x:c r="H16" s="11" t="str">
        <x:v>S1</x:v>
      </x:c>
      <x:c r="I16" s="11" t="str">
        <x:v>ÖNERİ</x:v>
      </x:c>
      <x:c r="J16" s="11" t="str">
        <x:v>G02, G06</x:v>
      </x:c>
    </x:row>
    <x:row r="17" ht="60.75" customHeight="1">
      <x:c r="A17" s="12" t="str">
        <x:v>F12</x:v>
      </x:c>
      <x:c r="B17" s="12" t="str">
        <x:v>vessel_category_id</x:v>
      </x:c>
      <x:c r="C17" s="12" t="str">
        <x:v>Ürün ana tipi / Vessel category</x:v>
      </x:c>
      <x:c r="D17" s="12" t="str">
        <x:v>14.02 ship_type satır263: Text/Conditional,518 lookup açığı içinde değil. Onaylı katalog yok.</x:v>
      </x:c>
      <x:c r="E17" s="12" t="str">
        <x:v>Değişmez ürün FK. Birincil tip tek seçim; roller/sınıflar çoklu. ship_type → runtime vessel_type → applicability vessel.type iz eşlemesi onaylanacak; yeniden adlandırma yok.</x:v>
      </x:c>
      <x:c r="F17" s="12" t="str">
        <x:v>Yeni RECORDED için açık seçim önerisi; değerlendirme requiredness ayrı.</x:v>
      </x:c>
      <x:c r="G17" s="12" t="str">
        <x:v>Ürün önerisi</x:v>
      </x:c>
      <x:c r="H17" s="12" t="str">
        <x:v>E01, T01, S3, S9</x:v>
      </x:c>
      <x:c r="I17" s="12" t="str">
        <x:v>ÖNERİ</x:v>
      </x:c>
      <x:c r="J17" s="12" t="str">
        <x:v>G01, G03, G04</x:v>
      </x:c>
    </x:row>
    <x:row r="18" ht="35.25" customHeight="1">
      <x:c r="A18" s="11" t="str">
        <x:v>F13</x:v>
      </x:c>
      <x:c r="B18" s="11" t="str">
        <x:v>vessel_subtype_id</x:v>
      </x:c>
      <x:c r="C18" s="11" t="str">
        <x:v>Ürün alt tipi / Vessel subtype</x:v>
      </x:c>
      <x:c r="D18" s="11" t="str">
        <x:v>Alt tip ilişkisi doğrulanmadı.</x:v>
      </x:c>
      <x:c r="E18" s="11" t="str">
        <x:v>Nullable FK. parent_id ile kategori tutarlılığı. Çok amaçlı rol ayrı.</x:v>
      </x:c>
      <x:c r="F18" s="11" t="str">
        <x:v>Katalog kapsamı gerektiriyorsa.</x:v>
      </x:c>
      <x:c r="G18" s="11" t="str">
        <x:v>Ürün önerisi</x:v>
      </x:c>
      <x:c r="H18" s="11" t="str">
        <x:v>S3, S9</x:v>
      </x:c>
      <x:c r="I18" s="11" t="str">
        <x:v>ÖNERİ</x:v>
      </x:c>
      <x:c r="J18" s="11" t="str">
        <x:v>G01, G03</x:v>
      </x:c>
    </x:row>
    <x:row r="19" ht="35.25" customHeight="1">
      <x:c r="A19" s="12" t="str">
        <x:v>F14</x:v>
      </x:c>
      <x:c r="B19" s="12" t="str">
        <x:v>registry_ship_type_code</x:v>
      </x:c>
      <x:c r="C19" s="12" t="str">
        <x:v>Ulusal sicil cinsi / Registry type code</x:v>
      </x:c>
      <x:c r="D19" s="12" t="str">
        <x:v>ship_type metni, onaylı UAB kodu sayılmaz.</x:v>
      </x:c>
      <x:c r="E19" s="12" t="str">
        <x:v>String + scheme + version. UAB 4304/4305 sadece gerçek örnekler.</x:v>
      </x:c>
      <x:c r="F19" s="12" t="str">
        <x:v>Ulusal kayıt belgesi varsa.</x:v>
      </x:c>
      <x:c r="G19" s="12" t="str">
        <x:v>Ulusal kaynak</x:v>
      </x:c>
      <x:c r="H19" s="12" t="str">
        <x:v>S8, S9</x:v>
      </x:c>
      <x:c r="I19" s="12" t="str">
        <x:v>ÖNERİ</x:v>
      </x:c>
      <x:c r="J19" s="12" t="str">
        <x:v>G02, G03</x:v>
      </x:c>
    </x:row>
    <x:row r="20" ht="35.25" customHeight="1">
      <x:c r="A20" s="11" t="str">
        <x:v>F15</x:v>
      </x:c>
      <x:c r="B20" s="11" t="str">
        <x:v>registry_type_scheme</x:v>
      </x:c>
      <x:c r="C20" s="11" t="str">
        <x:v>Sicil kod şeması / Registry scheme</x:v>
      </x:c>
      <x:c r="D20" s="11" t="str">
        <x:v>Yeni alan önerisi.</x:v>
      </x:c>
      <x:c r="E20" s="11" t="str">
        <x:v>Namespace. Örn. UAB sicil cinsleri; ürün/AIS şemalarıyla birleştirilmez.</x:v>
      </x:c>
      <x:c r="F20" s="11" t="str">
        <x:v>F14 doluysa.</x:v>
      </x:c>
      <x:c r="G20" s="11" t="str">
        <x:v>Ulusal kaynak</x:v>
      </x:c>
      <x:c r="H20" s="11" t="str">
        <x:v>S9</x:v>
      </x:c>
      <x:c r="I20" s="11" t="str">
        <x:v>ÖNERİ</x:v>
      </x:c>
      <x:c r="J20" s="11" t="str">
        <x:v>G01, G03</x:v>
      </x:c>
    </x:row>
    <x:row r="21" ht="35.25" customHeight="1">
      <x:c r="A21" s="12" t="str">
        <x:v>F16</x:v>
      </x:c>
      <x:c r="B21" s="12" t="str">
        <x:v>registry_type_version</x:v>
      </x:c>
      <x:c r="C21" s="12" t="str">
        <x:v>Sicil kaynak sürümü / Registry version</x:v>
      </x:c>
      <x:c r="D21" s="12" t="str">
        <x:v>Yeni alan önerisi.</x:v>
      </x:c>
      <x:c r="E21" s="12" t="str">
        <x:v>String kaynak sürümü. 08-2026 dosya adı hukuki onay tarihi değildir.</x:v>
      </x:c>
      <x:c r="F21" s="12" t="str">
        <x:v>F14 doluysa.</x:v>
      </x:c>
      <x:c r="G21" s="12" t="str">
        <x:v>Ulusal kaynak</x:v>
      </x:c>
      <x:c r="H21" s="12" t="str">
        <x:v>S8, S9</x:v>
      </x:c>
      <x:c r="I21" s="12" t="str">
        <x:v>ÖNERİ</x:v>
      </x:c>
      <x:c r="J21" s="12" t="str">
        <x:v>G02, G03</x:v>
      </x:c>
    </x:row>
    <x:row r="22" ht="35.25" customHeight="1">
      <x:c r="A22" s="11" t="str">
        <x:v>F17</x:v>
      </x:c>
      <x:c r="B22" s="11" t="str">
        <x:v>ais_ship_type_code</x:v>
      </x:c>
      <x:c r="C22" s="11" t="str">
        <x:v>AIS gemi/yük kodu / AIS code</x:v>
      </x:c>
      <x:c r="D22" s="11" t="str">
        <x:v>Ürün tipinden ayrı AIS kanıtı doğrulanmadı.</x:v>
      </x:c>
      <x:c r="E22" s="11" t="str">
        <x:v>8-bit ham alan. 52 tug; 31/32 yedekleme bağlamı, kalıcı alt tip değil.</x:v>
      </x:c>
      <x:c r="F22" s="11" t="str">
        <x:v>AIS gözlemi varsa. Bilinmeyene 0 uydurma yok.</x:v>
      </x:c>
      <x:c r="G22" s="11" t="str">
        <x:v>Teknik standart</x:v>
      </x:c>
      <x:c r="H22" s="11" t="str">
        <x:v>S3, S4</x:v>
      </x:c>
      <x:c r="I22" s="11" t="str">
        <x:v>ÖNERİ</x:v>
      </x:c>
      <x:c r="J22" s="11" t="str">
        <x:v>G03</x:v>
      </x:c>
    </x:row>
    <x:row r="23" ht="48" customHeight="1">
      <x:c r="A23" s="12" t="str">
        <x:v>F18</x:v>
      </x:c>
      <x:c r="B23" s="12" t="str">
        <x:v>ais_standard_version</x:v>
      </x:c>
      <x:c r="C23" s="12" t="str">
        <x:v>AIS standardı / AIS edition</x:v>
      </x:c>
      <x:c r="D23" s="12" t="str">
        <x:v>Yeni alan önerisi.</x:v>
      </x:c>
      <x:c r="E23" s="12" t="str">
        <x:v>String. M.1371-6 (02/2026) güncel öneri. -5 superseded kayıt statüsüdür; zorunlu cihaz yenileme/hukuki geri çekme iddiası değil.</x:v>
      </x:c>
      <x:c r="F23" s="12" t="str">
        <x:v>F17 doluysa.</x:v>
      </x:c>
      <x:c r="G23" s="12" t="str">
        <x:v>Teknik standart</x:v>
      </x:c>
      <x:c r="H23" s="12" t="str">
        <x:v>S3, S4</x:v>
      </x:c>
      <x:c r="I23" s="12" t="str">
        <x:v>ÖNERİ</x:v>
      </x:c>
      <x:c r="J23" s="12" t="str">
        <x:v>G03</x:v>
      </x:c>
    </x:row>
    <x:row r="24" ht="35.25" customHeight="1">
      <x:c r="A24" s="11" t="str">
        <x:v>F19</x:v>
      </x:c>
      <x:c r="B24" s="11" t="str">
        <x:v>ais_received_at</x:v>
      </x:c>
      <x:c r="C24" s="11" t="str">
        <x:v>AIS gözlem zamanı / Received at</x:v>
      </x:c>
      <x:c r="D24" s="11" t="str">
        <x:v>Yeni alan önerisi.</x:v>
      </x:c>
      <x:c r="E24" s="11" t="str">
        <x:v>UTC timestamp + gözlem kaynağı. AIS, sicil veya hukuk otoritesi değildir.</x:v>
      </x:c>
      <x:c r="F24" s="11" t="str">
        <x:v>F17 doluysa.</x:v>
      </x:c>
      <x:c r="G24" s="11" t="str">
        <x:v>Teknik standart</x:v>
      </x:c>
      <x:c r="H24" s="11" t="str">
        <x:v>S3</x:v>
      </x:c>
      <x:c r="I24" s="11" t="str">
        <x:v>ÖNERİ</x:v>
      </x:c>
      <x:c r="J24" s="11" t="str">
        <x:v>G03</x:v>
      </x:c>
    </x:row>
    <x:row r="25" ht="35.25" customHeight="1">
      <x:c r="A25" s="12" t="str">
        <x:v>F20</x:v>
      </x:c>
      <x:c r="B25" s="12" t="str">
        <x:v>regulatory_classifications[]</x:v>
      </x:c>
      <x:c r="C25" s="12" t="str">
        <x:v>Mevzuat sınıfları / Regulatory classes</x:v>
      </x:c>
      <x:c r="D25" s="12" t="str">
        <x:v>Tek ship_type alanı yeterli kanıt değildir.</x:v>
      </x:c>
      <x:c r="E25" s="12" t="str">
        <x:v>Çoklu kayıt: instrument, edition, article, class, dönem, karar, gerekçe, kanıt.</x:v>
      </x:c>
      <x:c r="F25" s="12" t="str">
        <x:v>İlgili uygulanabilirlik değerlendirmesinde.</x:v>
      </x:c>
      <x:c r="G25" s="12" t="str">
        <x:v>Hukuki bağlam</x:v>
      </x:c>
      <x:c r="H25" s="12" t="str">
        <x:v>S10, S11, S14, S15</x:v>
      </x:c>
      <x:c r="I25" s="12" t="str">
        <x:v>ÖNERİ</x:v>
      </x:c>
      <x:c r="J25" s="12" t="str">
        <x:v>G02</x:v>
      </x:c>
    </x:row>
    <x:row r="26" ht="35.25" customHeight="1">
      <x:c r="A26" s="11" t="str">
        <x:v>F21</x:v>
      </x:c>
      <x:c r="B26" s="11" t="str">
        <x:v>tug_operational_roles[]</x:v>
      </x:c>
      <x:c r="C26" s="11" t="str">
        <x:v>Römorkör rolleri / Tug roles</x:v>
      </x:c>
      <x:c r="D26" s="11" t="str">
        <x:v>Rol ekseni doğrulanmadı.</x:v>
      </x:c>
      <x:c r="E26" s="11" t="str">
        <x:v>Tarihçeli çoklu ürün FK. Liman yardımı, eskort, kurtarma örnek; izin belgesi değil.</x:v>
      </x:c>
      <x:c r="F26" s="11" t="str">
        <x:v>TUG ve rol biliniyorsa.</x:v>
      </x:c>
      <x:c r="G26" s="11" t="str">
        <x:v>Ürün önerisi</x:v>
      </x:c>
      <x:c r="H26" s="11" t="str">
        <x:v>S9</x:v>
      </x:c>
      <x:c r="I26" s="11" t="str">
        <x:v>ÖNERİ</x:v>
      </x:c>
      <x:c r="J26" s="11" t="str">
        <x:v>G01, G02</x:v>
      </x:c>
    </x:row>
    <x:row r="27" ht="35.25" customHeight="1">
      <x:c r="A27" s="12" t="str">
        <x:v>F22</x:v>
      </x:c>
      <x:c r="B27" s="12" t="str">
        <x:v>tug_drive_configuration_id</x:v>
      </x:c>
      <x:c r="C27" s="12" t="str">
        <x:v>Römorkör mimarisi / Drive configuration</x:v>
      </x:c>
      <x:c r="D27" s="12" t="str">
        <x:v>Mimari ekseni doğrulanmadı.</x:v>
      </x:c>
      <x:c r="E27" s="12" t="str">
        <x:v>FK. ASD/tractor/conventional aday terimler. Uzman onayı ve marka ayrımı gerekli.</x:v>
      </x:c>
      <x:c r="F27" s="12" t="str">
        <x:v>TUG teknik kayıt varsa.</x:v>
      </x:c>
      <x:c r="G27" s="12" t="str">
        <x:v>Ürün önerisi</x:v>
      </x:c>
      <x:c r="H27" s="12" t="str">
        <x:v>S9</x:v>
      </x:c>
      <x:c r="I27" s="12" t="str">
        <x:v>ÖNERİ</x:v>
      </x:c>
      <x:c r="J27" s="12" t="str">
        <x:v>G01</x:v>
      </x:c>
    </x:row>
    <x:row r="28" ht="35.25" customHeight="1">
      <x:c r="A28" s="11" t="str">
        <x:v>F23</x:v>
      </x:c>
      <x:c r="B28" s="11" t="str">
        <x:v>propulsion_technology_id</x:v>
      </x:c>
      <x:c r="C28" s="11" t="str">
        <x:v>Sevk teknolojisi / Propulsion technology</x:v>
      </x:c>
      <x:c r="D28" s="11" t="str">
        <x:v>Yeni ayrı teknik eksen.</x:v>
      </x:c>
      <x:c r="E28" s="11" t="str">
        <x:v>FK. Azimut/cycloidal/pervane örnekleri. Mimari ve enerji sisteminden ayrı.</x:v>
      </x:c>
      <x:c r="F28" s="11" t="str">
        <x:v>Teknik belge varsa.</x:v>
      </x:c>
      <x:c r="G28" s="11" t="str">
        <x:v>Ürün önerisi</x:v>
      </x:c>
      <x:c r="H28" s="11" t="str">
        <x:v>S9</x:v>
      </x:c>
      <x:c r="I28" s="11" t="str">
        <x:v>ÖNERİ</x:v>
      </x:c>
      <x:c r="J28" s="11" t="str">
        <x:v>G01</x:v>
      </x:c>
    </x:row>
    <x:row r="29" ht="35.25" customHeight="1">
      <x:c r="A29" s="12" t="str">
        <x:v>F24</x:v>
      </x:c>
      <x:c r="B29" s="12" t="str">
        <x:v>energy_system_id</x:v>
      </x:c>
      <x:c r="C29" s="12" t="str">
        <x:v>Enerji sistemi / Energy system</x:v>
      </x:c>
      <x:c r="D29" s="12" t="str">
        <x:v>Yeni ayrı teknik eksen.</x:v>
      </x:c>
      <x:c r="E29" s="12" t="str">
        <x:v>FK. Dizel, hibrit, batarya örnek; emisyon uygunluğu türetilmez.</x:v>
      </x:c>
      <x:c r="F29" s="12" t="str">
        <x:v>Teknik belge varsa.</x:v>
      </x:c>
      <x:c r="G29" s="12" t="str">
        <x:v>Ürün önerisi</x:v>
      </x:c>
      <x:c r="H29" s="12" t="str">
        <x:v>S9, S15</x:v>
      </x:c>
      <x:c r="I29" s="12" t="str">
        <x:v>ÖNERİ</x:v>
      </x:c>
      <x:c r="J29" s="12" t="str">
        <x:v>G01, G02</x:v>
      </x:c>
    </x:row>
    <x:row r="30" ht="35.25" customHeight="1">
      <x:c r="A30" s="11" t="str">
        <x:v>F25</x:v>
      </x:c>
      <x:c r="B30" s="11" t="str">
        <x:v>bollard_pull_value</x:v>
      </x:c>
      <x:c r="C30" s="11" t="str">
        <x:v>Çeki kuvveti / Bollard pull</x:v>
      </x:c>
      <x:c r="D30" s="11" t="str">
        <x:v>Ölçüm/eşik uygulaması bu kaynakta doğrulanmadı.</x:v>
      </x:c>
      <x:c r="E30" s="11" t="str">
        <x:v>Nullable decimal. Bilinmeyen null kalır, sıfır yapılmaz. Negatif değer reddi.</x:v>
      </x:c>
      <x:c r="F30" s="11" t="str">
        <x:v>Ölçüm varsa F26–28 ile.</x:v>
      </x:c>
      <x:c r="G30" s="11" t="str">
        <x:v>Ürün önerisi</x:v>
      </x:c>
      <x:c r="H30" s="11" t="str">
        <x:v>S9</x:v>
      </x:c>
      <x:c r="I30" s="11" t="str">
        <x:v>ÖNERİ</x:v>
      </x:c>
      <x:c r="J30" s="11" t="str">
        <x:v>G01, G02</x:v>
      </x:c>
    </x:row>
    <x:row r="31" ht="35.25" customHeight="1">
      <x:c r="A31" s="12" t="str">
        <x:v>F26</x:v>
      </x:c>
      <x:c r="B31" s="12" t="str">
        <x:v>bollard_pull_unit</x:v>
      </x:c>
      <x:c r="C31" s="12" t="str">
        <x:v>Çeki kuvveti birimi / Pull unit</x:v>
      </x:c>
      <x:c r="D31" s="12" t="str">
        <x:v>Yeni birim denetimi önerisi.</x:v>
      </x:c>
      <x:c r="E31" s="12" t="str">
        <x:v>Kontrollü birim. kN / ton-force açık seçilir; özgün değer ve dönüşüm sürümü korunur.</x:v>
      </x:c>
      <x:c r="F31" s="12" t="str">
        <x:v>F25 doluysa.</x:v>
      </x:c>
      <x:c r="G31" s="12" t="str">
        <x:v>Ürün önerisi</x:v>
      </x:c>
      <x:c r="H31" s="12" t="str">
        <x:v>S9</x:v>
      </x:c>
      <x:c r="I31" s="12" t="str">
        <x:v>ÖNERİ</x:v>
      </x:c>
      <x:c r="J31" s="12" t="str">
        <x:v>G01</x:v>
      </x:c>
    </x:row>
    <x:row r="32" ht="35.25" customHeight="1">
      <x:c r="A32" s="11" t="str">
        <x:v>F27</x:v>
      </x:c>
      <x:c r="B32" s="11" t="str">
        <x:v>bollard_pull_test_date</x:v>
      </x:c>
      <x:c r="C32" s="11" t="str">
        <x:v>Çeki testi tarihi / Pull test date</x:v>
      </x:c>
      <x:c r="D32" s="11" t="str">
        <x:v>Yeni ölçüm kanıtı önerisi.</x:v>
      </x:c>
      <x:c r="E32" s="11" t="str">
        <x:v>Date. Sertifika ve test koşullarıyla bağlı; güncel performans varsayılmaz.</x:v>
      </x:c>
      <x:c r="F32" s="11" t="str">
        <x:v>Doğrulanmış F25 için.</x:v>
      </x:c>
      <x:c r="G32" s="11" t="str">
        <x:v>Ürün önerisi</x:v>
      </x:c>
      <x:c r="H32" s="11" t="str">
        <x:v>S9</x:v>
      </x:c>
      <x:c r="I32" s="11" t="str">
        <x:v>ÖNERİ</x:v>
      </x:c>
      <x:c r="J32" s="11" t="str">
        <x:v>G02</x:v>
      </x:c>
    </x:row>
    <x:row r="33" ht="35.25" customHeight="1">
      <x:c r="A33" s="12" t="str">
        <x:v>F28</x:v>
      </x:c>
      <x:c r="B33" s="12" t="str">
        <x:v>bollard_pull_certificate_id</x:v>
      </x:c>
      <x:c r="C33" s="12" t="str">
        <x:v>Çeki sertifikası / Pull certificate</x:v>
      </x:c>
      <x:c r="D33" s="12" t="str">
        <x:v>Yeni ölçüm kanıtı önerisi.</x:v>
      </x:c>
      <x:c r="E33" s="12" t="str">
        <x:v>Belge FK. Kaynak değer/birim/test koşulu ile tutarlı.</x:v>
      </x:c>
      <x:c r="F33" s="12" t="str">
        <x:v>Doğrulanmış F25 için.</x:v>
      </x:c>
      <x:c r="G33" s="12" t="str">
        <x:v>Ürün önerisi</x:v>
      </x:c>
      <x:c r="H33" s="12" t="str">
        <x:v>S9</x:v>
      </x:c>
      <x:c r="I33" s="12" t="str">
        <x:v>ÖNERİ</x:v>
      </x:c>
      <x:c r="J33" s="12" t="str">
        <x:v>G02</x:v>
      </x:c>
    </x:row>
    <x:row r="34" ht="35.25" customHeight="1">
      <x:c r="A34" s="11" t="str">
        <x:v>F29</x:v>
      </x:c>
      <x:c r="B34" s="11" t="str">
        <x:v>escort_rating</x:v>
      </x:c>
      <x:c r="C34" s="11" t="str">
        <x:v>Eskort derecesi / Escort rating</x:v>
      </x:c>
      <x:c r="D34" s="11" t="str">
        <x:v>Sertifikalı kapasite doğrulanmadı.</x:v>
      </x:c>
      <x:c r="E34" s="11" t="str">
        <x:v>Nullable değer + birim/koşul + sertifika ilişkisi. Rol seçimi rating doğurmaz.</x:v>
      </x:c>
      <x:c r="F34" s="11" t="str">
        <x:v>Sertifika varsa.</x:v>
      </x:c>
      <x:c r="G34" s="11" t="str">
        <x:v>Ürün önerisi</x:v>
      </x:c>
      <x:c r="H34" s="11" t="str">
        <x:v>S9</x:v>
      </x:c>
      <x:c r="I34" s="11" t="str">
        <x:v>ÖNERİ</x:v>
      </x:c>
      <x:c r="J34" s="11" t="str">
        <x:v>G02</x:v>
      </x:c>
    </x:row>
    <x:row r="35" ht="35.25" customHeight="1">
      <x:c r="A35" s="12" t="str">
        <x:v>F30</x:v>
      </x:c>
      <x:c r="B35" s="12" t="str">
        <x:v>firefighting_class_notation</x:v>
      </x:c>
      <x:c r="C35" s="12" t="str">
        <x:v>Yangın sınıf notasyonu / FiFi notation</x:v>
      </x:c>
      <x:c r="D35" s="12" t="str">
        <x:v>Sertifika notasyonu doğrulanmadı.</x:v>
      </x:c>
      <x:c r="E35" s="12" t="str">
        <x:v>String + klas standardı/sürümü + belge. Ekipman varlığıyla türetilmez.</x:v>
      </x:c>
      <x:c r="F35" s="12" t="str">
        <x:v>Sertifika varsa.</x:v>
      </x:c>
      <x:c r="G35" s="12" t="str">
        <x:v>Ürün önerisi</x:v>
      </x:c>
      <x:c r="H35" s="12" t="str">
        <x:v>S9</x:v>
      </x:c>
      <x:c r="I35" s="12" t="str">
        <x:v>ÖNERİ</x:v>
      </x:c>
      <x:c r="J35" s="12" t="str">
        <x:v>G02</x:v>
      </x:c>
    </x:row>
    <x:row r="36" ht="35.25" customHeight="1">
      <x:c r="A36" s="11" t="str">
        <x:v>F31</x:v>
      </x:c>
      <x:c r="B36" s="11" t="str">
        <x:v>class_society_id</x:v>
      </x:c>
      <x:c r="C36" s="11" t="str">
        <x:v>Klas kuruluşu / Class society</x:v>
      </x:c>
      <x:c r="D36" s="11" t="str">
        <x:v>Bu kapsamda kaynak doğrulanmadı.</x:v>
      </x:c>
      <x:c r="E36" s="11" t="str">
        <x:v>Kurum FK + belge. Bayrak idaresiyle aynı kimlik alanı değildir.</x:v>
      </x:c>
      <x:c r="F36" s="11" t="str">
        <x:v>Klas kaydı varsa.</x:v>
      </x:c>
      <x:c r="G36" s="11" t="str">
        <x:v>Ürün önerisi</x:v>
      </x:c>
      <x:c r="H36" s="11" t="str">
        <x:v>S9</x:v>
      </x:c>
      <x:c r="I36" s="11" t="str">
        <x:v>ÖNERİ</x:v>
      </x:c>
      <x:c r="J36" s="11" t="str">
        <x:v>G01, G02</x:v>
      </x:c>
    </x:row>
    <x:row r="37" ht="35.25" customHeight="1">
      <x:c r="A37" s="12" t="str">
        <x:v>F32</x:v>
      </x:c>
      <x:c r="B37" s="12" t="str">
        <x:v>gross_tonnage</x:v>
      </x:c>
      <x:c r="C37" s="12" t="str">
        <x:v>Gros tonaj / Gross tonnage</x:v>
      </x:c>
      <x:c r="D37" s="12" t="str">
        <x:v>Uygulanabilirlik için kaynak veri gereklidir.</x:v>
      </x:c>
      <x:c r="E37" s="12" t="str">
        <x:v>Nullable decimal. GT tonaj ölçüsüdür; DWT veya deplasmanla değiştirilemez.</x:v>
      </x:c>
      <x:c r="F37" s="12" t="str">
        <x:v>Kapsam kuralı GT gerektiriyorsa.</x:v>
      </x:c>
      <x:c r="G37" s="12" t="str">
        <x:v>Hukuki bağlam</x:v>
      </x:c>
      <x:c r="H37" s="12" t="str">
        <x:v>S10, S11, S14, S15</x:v>
      </x:c>
      <x:c r="I37" s="12" t="str">
        <x:v>ÖNERİ</x:v>
      </x:c>
      <x:c r="J37" s="12" t="str">
        <x:v>G02</x:v>
      </x:c>
    </x:row>
    <x:row r="38" ht="35.25" customHeight="1">
      <x:c r="A38" s="11" t="str">
        <x:v>F33</x:v>
      </x:c>
      <x:c r="B38" s="11" t="str">
        <x:v>tonnage_basis</x:v>
      </x:c>
      <x:c r="C38" s="11" t="str">
        <x:v>Tonaj esası / Tonnage basis</x:v>
      </x:c>
      <x:c r="D38" s="11" t="str">
        <x:v>Yeni kaynak/ölçüm ayrımı önerisi.</x:v>
      </x:c>
      <x:c r="E38" s="11" t="str">
        <x:v>Belge + ölçüm standardı/sürümü + tarih. GT eşikleri bu esasla değerlendirilir.</x:v>
      </x:c>
      <x:c r="F38" s="11" t="str">
        <x:v>F32 doluysa.</x:v>
      </x:c>
      <x:c r="G38" s="11" t="str">
        <x:v>Hukuki bağlam</x:v>
      </x:c>
      <x:c r="H38" s="11" t="str">
        <x:v>S11, S15</x:v>
      </x:c>
      <x:c r="I38" s="11" t="str">
        <x:v>ÖNERİ</x:v>
      </x:c>
      <x:c r="J38" s="11" t="str">
        <x:v>G02</x:v>
      </x:c>
    </x:row>
    <x:row r="39" ht="35.25" customHeight="1">
      <x:c r="A39" s="12" t="str">
        <x:v>F34</x:v>
      </x:c>
      <x:c r="B39" s="12" t="str">
        <x:v>deadweight_tonnes</x:v>
      </x:c>
      <x:c r="C39" s="12" t="str">
        <x:v>Dedveyt / Deadweight</x:v>
      </x:c>
      <x:c r="D39" s="12" t="str">
        <x:v>GT yerine kullanılmaz.</x:v>
      </x:c>
      <x:c r="E39" s="12" t="str">
        <x:v>Nullable decimal, ton. Özgün belgeyle doğrula. Eksik değer null.</x:v>
      </x:c>
      <x:c r="F39" s="12" t="str">
        <x:v>Raporlama gerektiriyorsa.</x:v>
      </x:c>
      <x:c r="G39" s="12" t="str">
        <x:v>Ürün önerisi</x:v>
      </x:c>
      <x:c r="H39" s="12" t="str">
        <x:v>S15</x:v>
      </x:c>
      <x:c r="I39" s="12" t="str">
        <x:v>ÖNERİ</x:v>
      </x:c>
      <x:c r="J39" s="12" t="str">
        <x:v>G02</x:v>
      </x:c>
    </x:row>
    <x:row r="40" ht="35.25" customHeight="1">
      <x:c r="A40" s="11" t="str">
        <x:v>F35</x:v>
      </x:c>
      <x:c r="B40" s="11" t="str">
        <x:v>voyage_scope</x:v>
      </x:c>
      <x:c r="C40" s="11" t="str">
        <x:v>Sefer kapsamı / Voyage scope</x:v>
      </x:c>
      <x:c r="D40" s="11" t="str">
        <x:v>Bayrak/tipten türetilemez.</x:v>
      </x:c>
      <x:c r="E40" s="11" t="str">
        <x:v>Dönemsel uluslararası/ulusal/faaliyet profili. unknown ayrı.</x:v>
      </x:c>
      <x:c r="F40" s="11" t="str">
        <x:v>Uygulanabilirlik değerlendirmesinde.</x:v>
      </x:c>
      <x:c r="G40" s="11" t="str">
        <x:v>Hukuki bağlam</x:v>
      </x:c>
      <x:c r="H40" s="11" t="str">
        <x:v>S10, S11, S14, S15</x:v>
      </x:c>
      <x:c r="I40" s="11" t="str">
        <x:v>ÖNERİ</x:v>
      </x:c>
      <x:c r="J40" s="11" t="str">
        <x:v>G02</x:v>
      </x:c>
    </x:row>
    <x:row r="41" ht="35.25" customHeight="1">
      <x:c r="A41" s="12" t="str">
        <x:v>F36</x:v>
      </x:c>
      <x:c r="B41" s="12" t="str">
        <x:v>operating_area</x:v>
      </x:c>
      <x:c r="C41" s="12" t="str">
        <x:v>Faaliyet alanı / Operating area</x:v>
      </x:c>
      <x:c r="D41" s="12" t="str">
        <x:v>Bayrak ülkesinden türetilemez.</x:v>
      </x:c>
      <x:c r="E41" s="12" t="str">
        <x:v>Dönemsel yetki alanı ve operasyon bölgesi. Kaynak belge ve tarih.</x:v>
      </x:c>
      <x:c r="F41" s="12" t="str">
        <x:v>İlgili mevzuat kuralı için.</x:v>
      </x:c>
      <x:c r="G41" s="12" t="str">
        <x:v>Hukuki bağlam</x:v>
      </x:c>
      <x:c r="H41" s="12" t="str">
        <x:v>S10, S14, S15</x:v>
      </x:c>
      <x:c r="I41" s="12" t="str">
        <x:v>ÖNERİ</x:v>
      </x:c>
      <x:c r="J41" s="12" t="str">
        <x:v>G02</x:v>
      </x:c>
    </x:row>
    <x:row r="42" ht="35.25" customHeight="1">
      <x:c r="A42" s="11" t="str">
        <x:v>F37</x:v>
      </x:c>
      <x:c r="B42" s="11" t="str">
        <x:v>build_or_conversion_date</x:v>
      </x:c>
      <x:c r="C42" s="11" t="str">
        <x:v>İnşa/dönüşüm tarihi / Build or conversion</x:v>
      </x:c>
      <x:c r="D42" s="11" t="str">
        <x:v>Kapsama bağlı tarih ayrımı gerekli.</x:v>
      </x:c>
      <x:c r="E42" s="11" t="str">
        <x:v>Date + olay tipi. İnşa ile esaslı dönüşüm tek tarihi ezmez.</x:v>
      </x:c>
      <x:c r="F42" s="11" t="str">
        <x:v>Kural gerektiriyorsa.</x:v>
      </x:c>
      <x:c r="G42" s="11" t="str">
        <x:v>Hukuki bağlam</x:v>
      </x:c>
      <x:c r="H42" s="11" t="str">
        <x:v>S10, S15</x:v>
      </x:c>
      <x:c r="I42" s="11" t="str">
        <x:v>ÖNERİ</x:v>
      </x:c>
      <x:c r="J42" s="11" t="str">
        <x:v>G02</x:v>
      </x:c>
    </x:row>
    <x:row r="43" ht="35.25" customHeight="1">
      <x:c r="A43" s="12" t="str">
        <x:v>F38</x:v>
      </x:c>
      <x:c r="B43" s="12" t="str">
        <x:v>imo_number</x:v>
      </x:c>
      <x:c r="C43" s="12" t="str">
        <x:v>IMO gemi numarası / IMO ship number</x:v>
      </x:c>
      <x:c r="D43" s="12" t="str">
        <x:v>Mevcut 7 hane + checksum korunur.</x:v>
      </x:c>
      <x:c r="E43" s="12" t="str">
        <x:v>String. 7 haneli validator. Gelecek 8 hane resmi teknik/etkin tarih kapısı açılmadan kabul edilmez.</x:v>
      </x:c>
      <x:c r="F43" s="12" t="str">
        <x:v>Atanmış ve kapsam dahilindeyse.</x:v>
      </x:c>
      <x:c r="G43" s="12" t="str">
        <x:v>Kimlik standardı</x:v>
      </x:c>
      <x:c r="H43" s="12" t="str">
        <x:v>S12, S13, T01</x:v>
      </x:c>
      <x:c r="I43" s="12" t="str">
        <x:v>KORU</x:v>
      </x:c>
      <x:c r="J43" s="12" t="str">
        <x:v>G04</x:v>
      </x:c>
    </x:row>
    <x:row r="44" ht="35.25" customHeight="1">
      <x:c r="A44" s="11" t="str">
        <x:v>F39</x:v>
      </x:c>
      <x:c r="B44" s="11" t="str">
        <x:v>imo_assignment_status</x:v>
      </x:c>
      <x:c r="C44" s="11" t="str">
        <x:v>IMO atama durumu / Assignment status</x:v>
      </x:c>
      <x:c r="D44" s="11" t="str">
        <x:v>Sahte numara veya sıfır kullanılmaz.</x:v>
      </x:c>
      <x:c r="E44" s="11" t="str">
        <x:v>not_assigned/not_applicable/unknown/pending_verification. Atama kanıtı biçim kontrolünden ayrı.</x:v>
      </x:c>
      <x:c r="F44" s="11" t="str">
        <x:v>IMO yok veya doğrulanmamışsa.</x:v>
      </x:c>
      <x:c r="G44" s="11" t="str">
        <x:v>Ürün önerisi</x:v>
      </x:c>
      <x:c r="H44" s="11" t="str">
        <x:v>S12, S13</x:v>
      </x:c>
      <x:c r="I44" s="11" t="str">
        <x:v>ÖNERİ</x:v>
      </x:c>
      <x:c r="J44" s="11" t="str">
        <x:v>G02, G04</x:v>
      </x:c>
    </x:row>
    <x:row r="45" ht="35.25" customHeight="1">
      <x:c r="A45" s="12" t="str">
        <x:v>F40</x:v>
      </x:c>
      <x:c r="B45" s="12" t="str">
        <x:v>data_quality_status</x:v>
      </x:c>
      <x:c r="C45" s="12" t="str">
        <x:v>Veri niteliği / Data quality</x:v>
      </x:c>
      <x:c r="D45" s="12" t="str">
        <x:v>Unknown, Other ve unresolved ayrımı gerekir.</x:v>
      </x:c>
      <x:c r="E45" s="12" t="str">
        <x:v>unknown/not_provided/unverified/not_applicable/legacy_unresolved. Ürün türü veya ISO kodu değildir.</x:v>
      </x:c>
      <x:c r="F45" s="12" t="str">
        <x:v>Hedef alan çözümlenmemişse.</x:v>
      </x:c>
      <x:c r="G45" s="12" t="str">
        <x:v>Ürün önerisi</x:v>
      </x:c>
      <x:c r="H45" s="12" t="str">
        <x:v>E01, T01</x:v>
      </x:c>
      <x:c r="I45" s="12" t="str">
        <x:v>ÖNERİ</x:v>
      </x:c>
      <x:c r="J45" s="12" t="str">
        <x:v>G01, G05</x:v>
      </x:c>
    </x:row>
    <x:row r="46" ht="35.25" customHeight="1">
      <x:c r="A46" s="11" t="str">
        <x:v>F41</x:v>
      </x:c>
      <x:c r="B46" s="11" t="str">
        <x:v>legacy_text_snapshot</x:v>
      </x:c>
      <x:c r="C46" s="11" t="str">
        <x:v>Eski beyan / Legacy text</x:v>
      </x:c>
      <x:c r="D46" s="11" t="str">
        <x:v>flag / vessel_type exact metin semantiği mevcut.</x:v>
      </x:c>
      <x:c r="E46" s="11" t="str">
        <x:v>Ham metin + alan adı + kayıt/audit sürümü korunur. Etiket değişince geçmiş yeniden yorumlanmaz.</x:v>
      </x:c>
      <x:c r="F46" s="11" t="str">
        <x:v>Eski veri geçişinde.</x:v>
      </x:c>
      <x:c r="G46" s="11" t="str">
        <x:v>Uyumluluk</x:v>
      </x:c>
      <x:c r="H46" s="11" t="str">
        <x:v>E01, T01</x:v>
      </x:c>
      <x:c r="I46" s="11" t="str">
        <x:v>KORU</x:v>
      </x:c>
      <x:c r="J46" s="11" t="str">
        <x:v>G04, G05</x:v>
      </x:c>
    </x:row>
    <x:row r="47" ht="35.25" customHeight="1">
      <x:c r="A47" s="12" t="str">
        <x:v>F42</x:v>
      </x:c>
      <x:c r="B47" s="12" t="str">
        <x:v>catalog_revision</x:v>
      </x:c>
      <x:c r="C47" s="12" t="str">
        <x:v>Katalog revizyonu / Catalog revision</x:v>
      </x:c>
      <x:c r="D47" s="12" t="str">
        <x:v>format1 revision yalnız SYN test önerisidir.</x:v>
      </x:c>
      <x:c r="E47" s="12" t="str">
        <x:v>String, kodla birlikte saklanır. Snapshot/hash/lisans/onay ile izlenir.</x:v>
      </x:c>
      <x:c r="F47" s="12" t="str">
        <x:v>Yeni kodlu atama için.</x:v>
      </x:c>
      <x:c r="G47" s="12" t="str">
        <x:v>Teknik öneri</x:v>
      </x:c>
      <x:c r="H47" s="12" t="str">
        <x:v>T01</x:v>
      </x:c>
      <x:c r="I47" s="12" t="str">
        <x:v>ÖNERİ</x:v>
      </x:c>
      <x:c r="J47" s="12" t="str">
        <x:v>G01, G03, G04</x:v>
      </x:c>
    </x:row>
    <x:row r="48" ht="35.25" customHeight="1">
      <x:c r="A48" s="11" t="str">
        <x:v>F43</x:v>
      </x:c>
      <x:c r="B48" s="11" t="str">
        <x:v>flagCode</x:v>
      </x:c>
      <x:c r="C48" s="11" t="str">
        <x:v>API v3 bayrak kodu / Flag code</x:v>
      </x:c>
      <x:c r="D48" s="11" t="str">
        <x:v>Mevcut flag alanı sessizce koda çevrilmez.</x:v>
      </x:c>
      <x:c r="E48" s="11" t="str">
        <x:v>Önerilen ayrı v3 string + catalogRevision. Mantıksal id ilişkisinin tasarımı ayrıca onaylanacak.</x:v>
      </x:c>
      <x:c r="F48" s="11" t="str">
        <x:v>Yeni v3 RECORDED için; DRAFT boş olabilir.</x:v>
      </x:c>
      <x:c r="G48" s="11" t="str">
        <x:v>Teknik öneri</x:v>
      </x:c>
      <x:c r="H48" s="11" t="str">
        <x:v>T01</x:v>
      </x:c>
      <x:c r="I48" s="11" t="str">
        <x:v>ÖNERİ</x:v>
      </x:c>
      <x:c r="J48" s="11" t="str">
        <x:v>G03, G04, G06</x:v>
      </x:c>
    </x:row>
    <x:row r="49" ht="35.25" customHeight="1">
      <x:c r="A49" s="12" t="str">
        <x:v>F44</x:v>
      </x:c>
      <x:c r="B49" s="12" t="str">
        <x:v>vesselTypeCode</x:v>
      </x:c>
      <x:c r="C49" s="12" t="str">
        <x:v>API v3 tip kodu / Vessel type code</x:v>
      </x:c>
      <x:c r="D49" s="12" t="str">
        <x:v>Mevcut vessel_type metin semantiği korunur.</x:v>
      </x:c>
      <x:c r="E49" s="12" t="str">
        <x:v>Önerilen ayrı v3 string + catalogRevision. category/subtype ilişkisinin sürümlü tasarım kapısı açık.</x:v>
      </x:c>
      <x:c r="F49" s="12" t="str">
        <x:v>Yeni v3 RECORDED için; DRAFT boş olabilir.</x:v>
      </x:c>
      <x:c r="G49" s="12" t="str">
        <x:v>Teknik öneri</x:v>
      </x:c>
      <x:c r="H49" s="12" t="str">
        <x:v>T01</x:v>
      </x:c>
      <x:c r="I49" s="12" t="str">
        <x:v>ÖNERİ</x:v>
      </x:c>
      <x:c r="J49" s="12" t="str">
        <x:v>G03, G04, G06</x:v>
      </x:c>
    </x:row>
    <x:row r="50" ht="60.75" customHeight="1">
      <x:c r="A50" s="11" t="str">
        <x:v>F45</x:v>
      </x:c>
      <x:c r="B50" s="11" t="str">
        <x:v>verification_status</x:v>
      </x:c>
      <x:c r="C50" s="11" t="str">
        <x:v>Kanıt doğrulama durumu / Verification status</x:v>
      </x:c>
      <x:c r="D50" s="11" t="str">
        <x:v>R-P2-01: registry_status ile aynı enum değildir.</x:v>
      </x:c>
      <x:c r="E50" s="11" t="str">
        <x:v>Ürün kalite durumu pending/verified vb. + verified_by/at/evidence. SUSPENDED + VERIFIED birlikte mümkün; örnek universal hukuki enum değildir. Doğrulanmış kanıt hukuki geçerlilik vermez.</x:v>
      </x:c>
      <x:c r="F50" s="11" t="str">
        <x:v>Kanıt incelemesi varsa. Hukuki durumu ezmez.</x:v>
      </x:c>
      <x:c r="G50" s="11" t="str">
        <x:v>Ürün önerisi</x:v>
      </x:c>
      <x:c r="H50" s="11" t="str">
        <x:v>S1, S8, E01</x:v>
      </x:c>
      <x:c r="I50" s="11" t="str">
        <x:v>ÖNERİ</x:v>
      </x:c>
      <x:c r="J50" s="11" t="str">
        <x:v>G02, R-P2-01</x:v>
      </x:c>
    </x:row>
  </x:sheetData>
  <x:pageMargins left="0.7" right="0.7" top="0.75" bottom="0.75" header="0.3" footer="0.3"/>
  <x:tableParts count="1">
    <x:tablePart xmlns:r="http://schemas.openxmlformats.org/officeDocument/2006/relationships" r:id="R7042637bb64241b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17" hidden="0" customWidth="1"/>
    <x:col min="3" max="3" width="27" hidden="0" customWidth="1"/>
    <x:col min="4" max="4" width="52" hidden="0" customWidth="1"/>
    <x:col min="5" max="5" width="20" hidden="0" customWidth="1"/>
    <x:col min="6" max="6" width="11" hidden="0" customWidth="1"/>
    <x:col min="7" max="7" width="11.5" hidden="0" customWidth="1"/>
    <x:col min="8" max="8" width="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Katalog modeli ve yayın yönetişimi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5" t="str">
        <x:v>Mevcut dar SYN sözleşmesi ile hedef mantıksal genişletme ayrı tutulur.</x:v>
      </x:c>
      <x:c r="B4" s="2"/>
      <x:c r="C4" s="2"/>
      <x:c r="D4" s="2"/>
      <x:c r="E4" s="2"/>
      <x:c r="F4" s="2"/>
      <x:c r="G4" s="2"/>
      <x:c r="H4" s="2"/>
    </x:row>
    <x:row r="5" ht="32" customHeight="1">
      <x:c r="A5" s="9" t="str">
        <x:v>Kural ID</x:v>
      </x:c>
      <x:c r="B5" s="9" t="str">
        <x:v>Konu</x:v>
      </x:c>
      <x:c r="C5" s="9" t="str">
        <x:v>format1 kanıtı</x:v>
      </x:c>
      <x:c r="D5" s="9" t="str">
        <x:v>Hedef kural / açık karar</x:v>
      </x:c>
      <x:c r="E5" s="9" t="str">
        <x:v>Önerilen sorumlu rol</x:v>
      </x:c>
      <x:c r="F5" s="9" t="str">
        <x:v>Kapı</x:v>
      </x:c>
      <x:c r="G5" s="9" t="str">
        <x:v>Kaynak ID</x:v>
      </x:c>
      <x:c r="H5" s="9" t="str">
        <x:v>Durum</x:v>
      </x:c>
    </x:row>
    <x:row r="6" ht="32.25" customHeight="1">
      <x:c r="A6" s="11" t="str">
        <x:v>K01</x:v>
      </x:c>
      <x:c r="B6" s="11" t="str">
        <x:v>Paket kimliği</x:v>
      </x:c>
      <x:c r="C6" s="11" t="str">
        <x:v>formatVersion=1; catalogId; revision</x:v>
      </x:c>
      <x:c r="D6" s="11" t="str">
        <x:v>Yeni mantıksal model ayrı formatVersion ile incelenecek. format1 mevcut kalır.</x:v>
      </x:c>
      <x:c r="E6" s="11" t="str">
        <x:v>Katalog sahibi + mimari</x:v>
      </x:c>
      <x:c r="F6" s="11" t="str">
        <x:v>G01, G03</x:v>
      </x:c>
      <x:c r="G6" s="11" t="str">
        <x:v>T01</x:v>
      </x:c>
      <x:c r="H6" s="11" t="str">
        <x:v>ÖNERİ</x:v>
      </x:c>
    </x:row>
    <x:row r="7" ht="35.25" customHeight="1">
      <x:c r="A7" s="12" t="str">
        <x:v>K02</x:v>
      </x:c>
      <x:c r="B7" s="12" t="str">
        <x:v>Kimlik ve kod</x:v>
      </x:c>
      <x:c r="C7" s="12" t="str">
        <x:v>entry.code sabit kimlik rolünde</x:v>
      </x:c>
      <x:c r="D7" s="12" t="str">
        <x:v>id, namespace, source_code ayrımı önerilir. Yeniden adlandırma kimliği değiştirmez; kod tekrar kullanılmaz.</x:v>
      </x:c>
      <x:c r="E7" s="12" t="str">
        <x:v>Veri mimarisi</x:v>
      </x:c>
      <x:c r="F7" s="12" t="str">
        <x:v>G03</x:v>
      </x:c>
      <x:c r="G7" s="12" t="str">
        <x:v>S2, S3, S9, T01</x:v>
      </x:c>
      <x:c r="H7" s="12" t="str">
        <x:v>ÖNERİ</x:v>
      </x:c>
    </x:row>
    <x:row r="8" ht="35.25" customHeight="1">
      <x:c r="A8" s="11" t="str">
        <x:v>K03</x:v>
      </x:c>
      <x:c r="B8" s="11" t="str">
        <x:v>Tanım ve hiyerarşi</x:v>
      </x:c>
      <x:c r="C8" s="11" t="str">
        <x:v>labels TR/EN; modes SHIP/TUG</x:v>
      </x:c>
      <x:c r="D8" s="11" t="str">
        <x:v>parent_id, definition_tr/en, kategori/alt tip ve uzman kapsamı. Alan sayısını artırım testleri yeni sürümde.</x:v>
      </x:c>
      <x:c r="E8" s="11" t="str">
        <x:v>Denizcilik uzmanı + ürün</x:v>
      </x:c>
      <x:c r="F8" s="11" t="str">
        <x:v>G01, G03</x:v>
      </x:c>
      <x:c r="G8" s="11" t="str">
        <x:v>S9, T01</x:v>
      </x:c>
      <x:c r="H8" s="11" t="str">
        <x:v>ÖNERİ</x:v>
      </x:c>
    </x:row>
    <x:row r="9" ht="35.25" customHeight="1">
      <x:c r="A9" s="12" t="str">
        <x:v>K04</x:v>
      </x:c>
      <x:c r="B9" s="12" t="str">
        <x:v>Dış kaynak bilgisi</x:v>
      </x:c>
      <x:c r="C9" s="12" t="str">
        <x:v>source URL/version/retrievedAt/licenseReview paket düzeyinde</x:v>
      </x:c>
      <x:c r="D9" s="12" t="str">
        <x:v>Girdi bazında namespace/source_code/source_version/evidence ve lisans ilişkisi. Paket ve girdi kaynak ayrımı.</x:v>
      </x:c>
      <x:c r="E9" s="12" t="str">
        <x:v>Katalog sahibi + hukuk</x:v>
      </x:c>
      <x:c r="F9" s="12" t="str">
        <x:v>G01, G02, G03</x:v>
      </x:c>
      <x:c r="G9" s="12" t="str">
        <x:v>S2–S9, T01</x:v>
      </x:c>
      <x:c r="H9" s="12" t="str">
        <x:v>ÖNERİ</x:v>
      </x:c>
    </x:row>
    <x:row r="10" ht="35.25" customHeight="1">
      <x:c r="A10" s="11" t="str">
        <x:v>K05</x:v>
      </x:c>
      <x:c r="B10" s="11" t="str">
        <x:v>Dil ve alias</x:v>
      </x:c>
      <x:c r="C10" s="11" t="str">
        <x:v>labels ve aliases tr/en</x:v>
      </x:c>
      <x:c r="D10" s="11" t="str">
        <x:v>TR/EN çeviri onayı ve çeviri durumu. I/İ/ı/i deterministik arama. Alias yalnız arama; ilk geçişte otomatik atama yok.</x:v>
      </x:c>
      <x:c r="E10" s="11" t="str">
        <x:v>Ürün + çeviri incelemesi</x:v>
      </x:c>
      <x:c r="F10" s="11" t="str">
        <x:v>G01, G05, G07</x:v>
      </x:c>
      <x:c r="G10" s="11" t="str">
        <x:v>C01, C02, T01</x:v>
      </x:c>
      <x:c r="H10" s="11" t="str">
        <x:v>ÖNERİ</x:v>
      </x:c>
    </x:row>
    <x:row r="11" ht="35.25" customHeight="1">
      <x:c r="A11" s="12" t="str">
        <x:v>K06</x:v>
      </x:c>
      <x:c r="B11" s="12" t="str">
        <x:v>Yaşam döngüsü</x:v>
      </x:c>
      <x:c r="C11" s="12" t="str">
        <x:v>activeFrom, activeTo, replacementCode</x:v>
      </x:c>
      <x:c r="D11" s="12" t="str">
        <x:v>Pasifleştir; bağlı kaydı silme. Null bitiş resmi süresiz geçerlilik değildir. Tarihsel rapor eski snapshot ile.</x:v>
      </x:c>
      <x:c r="E11" s="12" t="str">
        <x:v>Katalog sahibi</x:v>
      </x:c>
      <x:c r="F11" s="12" t="str">
        <x:v>G01, G05</x:v>
      </x:c>
      <x:c r="G11" s="12" t="str">
        <x:v>T01, C02</x:v>
      </x:c>
      <x:c r="H11" s="12" t="str">
        <x:v>ÖNERİ</x:v>
      </x:c>
    </x:row>
    <x:row r="12" ht="35.25" customHeight="1">
      <x:c r="A12" s="11" t="str">
        <x:v>K07</x:v>
      </x:c>
      <x:c r="B12" s="11" t="str">
        <x:v>Onay ve tamlık</x:v>
      </x:c>
      <x:c r="C12" s="11" t="str">
        <x:v>PROPOSED / SYNTHETIC_TEST / REVIEWED; complete</x:v>
      </x:c>
      <x:c r="D12" s="11" t="str">
        <x:v>REVIEWED tek başına hukuk/üretim onayı değildir. Gerekli kaynak, lisans, kapsam, revizyon, test ve dağıtım kapıları ayrıca.</x:v>
      </x:c>
      <x:c r="E12" s="11" t="str">
        <x:v>Ürün + hukuk + release</x:v>
      </x:c>
      <x:c r="F12" s="11" t="str">
        <x:v>G01–G08</x:v>
      </x:c>
      <x:c r="G12" s="11" t="str">
        <x:v>T01</x:v>
      </x:c>
      <x:c r="H12" s="11" t="str">
        <x:v>ÖNERİ</x:v>
      </x:c>
    </x:row>
    <x:row r="13" ht="35.25" customHeight="1">
      <x:c r="A13" s="12" t="str">
        <x:v>K08</x:v>
      </x:c>
      <x:c r="B13" s="12" t="str">
        <x:v>Sentetik sınır</x:v>
      </x:c>
      <x:c r="C13" s="12" t="str">
        <x:v>İki SYN katalog; 12 kaynak test PASS</x:v>
      </x:c>
      <x:c r="D13" s="12" t="str">
        <x:v>Gerçek kod seed değil. API/DB/UX/kapsamlı schema PASS değil. Bu kitap testleri yeniden koşmaz.</x:v>
      </x:c>
      <x:c r="E13" s="12" t="str">
        <x:v>QA</x:v>
      </x:c>
      <x:c r="F13" s="12" t="str">
        <x:v>G03, G06, G07</x:v>
      </x:c>
      <x:c r="G13" s="12" t="str">
        <x:v>T01</x:v>
      </x:c>
      <x:c r="H13" s="12" t="str">
        <x:v>KORU</x:v>
      </x:c>
    </x:row>
    <x:row r="14" ht="35.25" customHeight="1">
      <x:c r="A14" s="11" t="str">
        <x:v>K09</x:v>
      </x:c>
      <x:c r="B14" s="11" t="str">
        <x:v>Sürüm ve dağıtım</x:v>
      </x:c>
      <x:c r="C14" s="11" t="str">
        <x:v>Üretim yükleyici yok</x:v>
      </x:c>
      <x:c r="D14" s="11" t="str">
        <x:v>Onaylı snapshot hash, release notes, lisans kaydı, rollback ve imza/dağıtım kontrolü tasarlanır.</x:v>
      </x:c>
      <x:c r="E14" s="11" t="str">
        <x:v>Release + güvenlik</x:v>
      </x:c>
      <x:c r="F14" s="11" t="str">
        <x:v>G01, G08</x:v>
      </x:c>
      <x:c r="G14" s="11" t="str">
        <x:v>T01</x:v>
      </x:c>
      <x:c r="H14" s="11" t="str">
        <x:v>ÖNERİ</x:v>
      </x:c>
    </x:row>
    <x:row r="15" ht="35.25" customHeight="1">
      <x:c r="A15" s="12" t="str">
        <x:v>K10</x:v>
      </x:c>
      <x:c r="B15" s="12" t="str">
        <x:v>Çevrimdışı kullanım</x:v>
      </x:c>
      <x:c r="C15" s="12" t="str">
        <x:v>Runtime/offline katalog yok</x:v>
      </x:c>
      <x:c r="D15" s="12" t="str">
        <x:v>Yerel cache tek başına güncel hukuki geçerlilik sağlamaz. Son doğrulama, eskime politikası ve senkronizasyon çakışması gerekir.</x:v>
      </x:c>
      <x:c r="E15" s="12" t="str">
        <x:v>Mimari + hukuk</x:v>
      </x:c>
      <x:c r="F15" s="12" t="str">
        <x:v>G02, G06, G08</x:v>
      </x:c>
      <x:c r="G15" s="12" t="str">
        <x:v>T01</x:v>
      </x:c>
      <x:c r="H15" s="12" t="str">
        <x:v>ÖNERİ</x:v>
      </x:c>
    </x:row>
    <x:row r="16" ht="35.25" customHeight="1">
      <x:c r="A16" s="11" t="str">
        <x:v>K11</x:v>
      </x:c>
      <x:c r="B16" s="11" t="str">
        <x:v>Tenant uzantısı</x:v>
      </x:c>
      <x:c r="C16" s="11" t="str">
        <x:v>format1 tenant namespace tanımlamaz</x:v>
      </x:c>
      <x:c r="D16" s="11" t="str">
        <x:v>tenant:* uzantıları resmi kaynak namespace dışında. Tenant kodu resmi sicil/AIS kodu gibi dışa aktarılmaz.</x:v>
      </x:c>
      <x:c r="E16" s="11" t="str">
        <x:v>Ürün + güvenlik</x:v>
      </x:c>
      <x:c r="F16" s="11" t="str">
        <x:v>G03, G06</x:v>
      </x:c>
      <x:c r="G16" s="11" t="str">
        <x:v>T01</x:v>
      </x:c>
      <x:c r="H16" s="11" t="str">
        <x:v>ÖNERİ</x:v>
      </x:c>
    </x:row>
    <x:row r="17" ht="35.25" customHeight="1">
      <x:c r="A17" s="12" t="str">
        <x:v>K12</x:v>
      </x:c>
      <x:c r="B17" s="12" t="str">
        <x:v>Yetki ve izleme</x:v>
      </x:c>
      <x:c r="C17" s="12" t="str">
        <x:v>SYN model production yetki testi değil</x:v>
      </x:c>
      <x:c r="D17" s="12" t="str">
        <x:v>Normal kullanıcı seçer; katalog sahibi düzenler; kod birleştirme/eşleme ayrı onay. Audit eski/yeni kimlik+gerekçe+kanıt.</x:v>
      </x:c>
      <x:c r="E17" s="12" t="str">
        <x:v>Güvenlik + veri sahibi</x:v>
      </x:c>
      <x:c r="F17" s="12" t="str">
        <x:v>G06</x:v>
      </x:c>
      <x:c r="G17" s="12" t="str">
        <x:v>C02, T01</x:v>
      </x:c>
      <x:c r="H17" s="12" t="str">
        <x:v>ÖNERİ</x:v>
      </x:c>
    </x:row>
    <x:row r="18" ht="35.25" customHeight="1">
      <x:c r="A18" s="11" t="str">
        <x:v>K13</x:v>
      </x:c>
      <x:c r="B18" s="11" t="str">
        <x:v>Form ve filtre</x:v>
      </x:c>
      <x:c r="C18" s="11" t="str">
        <x:v>Önerilen ortak katalog kaynağı</x:v>
      </x:c>
      <x:c r="D18" s="11" t="str">
        <x:v>Yeni seçim aktif kod; tarihsel filtre pasif kodu gösterebilir. Sayımlar gizli tenant/facet bilgisini sızdırmaz.</x:v>
      </x:c>
      <x:c r="E18" s="11" t="str">
        <x:v>API + UX</x:v>
      </x:c>
      <x:c r="F18" s="11" t="str">
        <x:v>G04, G06, G07</x:v>
      </x:c>
      <x:c r="G18" s="11" t="str">
        <x:v>T01, C03</x:v>
      </x:c>
      <x:c r="H18" s="11" t="str">
        <x:v>ÖNERİ</x:v>
      </x:c>
    </x:row>
    <x:row r="19" ht="35.25" customHeight="1">
      <x:c r="A19" s="12" t="str">
        <x:v>K14</x:v>
      </x:c>
      <x:c r="B19" s="12" t="str">
        <x:v>Katalog kapsamı</x:v>
      </x:c>
      <x:c r="C19" s="12" t="str">
        <x:v>Onaylı gerçek liste yok</x:v>
      </x:c>
      <x:c r="D19" s="12" t="str">
        <x:v>ISO ülke listesi bayrak yetki listesi değildir. UAB, AIS, Rec.28 ve ürün sınıfları ayrı kapsam ve sürüm taşır.</x:v>
      </x:c>
      <x:c r="E19" s="12" t="str">
        <x:v>Denizcilik + hukuk</x:v>
      </x:c>
      <x:c r="F19" s="12" t="str">
        <x:v>G01, G02</x:v>
      </x:c>
      <x:c r="G19" s="12" t="str">
        <x:v>S1–S9</x:v>
      </x:c>
      <x:c r="H19" s="12" t="str">
        <x:v>ÖNERİ</x:v>
      </x:c>
    </x:row>
    <x:row r="20" ht="48" customHeight="1">
      <x:c r="A20" s="11" t="str">
        <x:v>K15</x:v>
      </x:c>
      <x:c r="B20" s="11" t="str">
        <x:v>Eşleme yönetişimi</x:v>
      </x:c>
      <x:c r="C20" s="11" t="str">
        <x:v>format1 mapping tablosu yok</x:v>
      </x:c>
      <x:c r="D20" s="11" t="str">
        <x:v>source/target scheme+version+code, relation, condition, reason, decisionRef. exact dahil otomasyon ayrı kapı. 13.06 Modül Master39 satır6 ve14.02 projection34/62 onaysız; katalog servisi kanıtı değil.</x:v>
      </x:c>
      <x:c r="E20" s="11" t="str">
        <x:v>Veri sahibi + QA</x:v>
      </x:c>
      <x:c r="F20" s="11" t="str">
        <x:v>G03, G05</x:v>
      </x:c>
      <x:c r="G20" s="11" t="str">
        <x:v>S3, S5, S6, S9, T01, E01</x:v>
      </x:c>
      <x:c r="H20" s="11" t="str">
        <x:v>ÖNERİ</x:v>
      </x:c>
    </x:row>
  </x:sheetData>
  <x:pageMargins left="0.7" right="0.7" top="0.75" bottom="0.75" header="0.3" footer="0.3"/>
  <x:tableParts count="1">
    <x:tablePart xmlns:r="http://schemas.openxmlformats.org/officeDocument/2006/relationships" r:id="R979ae10c2fc74ab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25" hidden="0" customWidth="1"/>
    <x:col min="3" max="3" width="21" hidden="0" customWidth="1"/>
    <x:col min="4" max="4" width="25" hidden="0" customWidth="1"/>
    <x:col min="5" max="5" width="16" hidden="0" customWidth="1"/>
    <x:col min="6" max="6" width="11" hidden="0" customWidth="1"/>
    <x:col min="7" max="7" width="48" hidden="0" customWidth="1"/>
    <x:col min="8" max="8" width="17.5" hidden="0" customWidth="1"/>
    <x:col min="9" max="9" width="1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Sürümlü eşleme karar örnekleri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5" t="str">
        <x:v>broader = target_broader_than_source. narrower = target_narrower_than_source. Örnekler onaysız; otomatik atama yok.</x:v>
      </x:c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9" t="str">
        <x:v>Eşleme ID</x:v>
      </x:c>
      <x:c r="B5" s="9" t="str">
        <x:v>Kaynak şema / sürüm</x:v>
      </x:c>
      <x:c r="C5" s="9" t="str">
        <x:v>Kaynak kod / metin</x:v>
      </x:c>
      <x:c r="D5" s="9" t="str">
        <x:v>Hedef şema / sürüm</x:v>
      </x:c>
      <x:c r="E5" s="9" t="str">
        <x:v>Hedef kod</x:v>
      </x:c>
      <x:c r="F5" s="9" t="str">
        <x:v>İlişki</x:v>
      </x:c>
      <x:c r="G5" s="9" t="str">
        <x:v>Koşul ve sınır</x:v>
      </x:c>
      <x:c r="H5" s="9" t="str">
        <x:v>İlk geçiş kararı</x:v>
      </x:c>
      <x:c r="I5" s="9" t="str">
        <x:v>Kaynak ID</x:v>
      </x:c>
    </x:row>
    <x:row r="6" ht="35.25" customHeight="1">
      <x:c r="A6" s="11" t="str">
        <x:v>M01</x:v>
      </x:c>
      <x:c r="B6" s="11" t="str">
        <x:v>ISO 3166-1 / güncel OBP</x:v>
      </x:c>
      <x:c r="C6" s="11" t="str">
        <x:v>TR</x:v>
      </x:c>
      <x:c r="D6" s="11" t="str">
        <x:v>Önerilen bayrak idaresi / onaysız</x:v>
      </x:c>
      <x:c r="E6" s="11" t="str">
        <x:v>Henüz yok</x:v>
      </x:c>
      <x:c r="F6" s="11" t="str">
        <x:v>no_mapping</x:v>
      </x:c>
      <x:c r="G6" s="11" t="str">
        <x:v>Ülke kodu tek başına bayrak çekme yetkisi değildir. Yetkili idare ve belge gerekir.</x:v>
      </x:c>
      <x:c r="H6" s="11" t="str">
        <x:v>OTOMATİK YOK</x:v>
      </x:c>
      <x:c r="I6" s="11" t="str">
        <x:v>S1, S2</x:v>
      </x:c>
    </x:row>
    <x:row r="7" ht="35.25" customHeight="1">
      <x:c r="A7" s="12" t="str">
        <x:v>M02</x:v>
      </x:c>
      <x:c r="B7" s="12" t="str">
        <x:v>ITU-R M.1371-6 / 02-2026</x:v>
      </x:c>
      <x:c r="C7" s="12" t="str">
        <x:v>52</x:v>
      </x:c>
      <x:c r="D7" s="12" t="str">
        <x:v>POSEIDON ürün / taslak</x:v>
      </x:c>
      <x:c r="E7" s="12" t="str">
        <x:v>ÖRNEK:TUG</x:v>
      </x:c>
      <x:c r="F7" s="12" t="str">
        <x:v>broader</x:v>
      </x:c>
      <x:c r="G7" s="12" t="str">
        <x:v>AIS tug gözlemi üst ürün kategorisi adayı olabilir. UAB4304/4305 veya alt tip seçmez.</x:v>
      </x:c>
      <x:c r="H7" s="12" t="str">
        <x:v>OTOMATİK YOK</x:v>
      </x:c>
      <x:c r="I7" s="12" t="str">
        <x:v>S3, S4, S9</x:v>
      </x:c>
    </x:row>
    <x:row r="8" ht="35.25" customHeight="1">
      <x:c r="A8" s="11" t="str">
        <x:v>M03</x:v>
      </x:c>
      <x:c r="B8" s="11" t="str">
        <x:v>ITU-R M.1371-6 / 02-2026</x:v>
      </x:c>
      <x:c r="C8" s="11" t="str">
        <x:v>31</x:v>
      </x:c>
      <x:c r="D8" s="11" t="str">
        <x:v>POSEIDON ürün / taslak</x:v>
      </x:c>
      <x:c r="E8" s="11" t="str">
        <x:v>Henüz yok</x:v>
      </x:c>
      <x:c r="F8" s="11" t="str">
        <x:v>no_mapping</x:v>
      </x:c>
      <x:c r="G8" s="11" t="str">
        <x:v>Yedekleme bağlamı. Kalıcı römorkör alt tipi değildir. Ham gözlem ve zamanı koru.</x:v>
      </x:c>
      <x:c r="H8" s="11" t="str">
        <x:v>OTOMATİK YOK</x:v>
      </x:c>
      <x:c r="I8" s="11" t="str">
        <x:v>S3, S4</x:v>
      </x:c>
    </x:row>
    <x:row r="9" ht="32.25" customHeight="1">
      <x:c r="A9" s="12" t="str">
        <x:v>M04</x:v>
      </x:c>
      <x:c r="B9" s="12" t="str">
        <x:v>ITU-R M.1371-6 / 02-2026</x:v>
      </x:c>
      <x:c r="C9" s="12" t="str">
        <x:v>32</x:v>
      </x:c>
      <x:c r="D9" s="12" t="str">
        <x:v>POSEIDON ürün / taslak</x:v>
      </x:c>
      <x:c r="E9" s="12" t="str">
        <x:v>Henüz yok</x:v>
      </x:c>
      <x:c r="F9" s="12" t="str">
        <x:v>no_mapping</x:v>
      </x:c>
      <x:c r="G9" s="12" t="str">
        <x:v>Belirli boyut eşiğini aşan yedekleme bağlamı. Kalıcı alt tip değildir.</x:v>
      </x:c>
      <x:c r="H9" s="12" t="str">
        <x:v>OTOMATİK YOK</x:v>
      </x:c>
      <x:c r="I9" s="12" t="str">
        <x:v>S3, S4</x:v>
      </x:c>
    </x:row>
    <x:row r="10" ht="35.25" customHeight="1">
      <x:c r="A10" s="11" t="str">
        <x:v>M05</x:v>
      </x:c>
      <x:c r="B10" s="11" t="str">
        <x:v>UAB sicil cinsleri / dosya08-2026</x:v>
      </x:c>
      <x:c r="C10" s="11" t="str">
        <x:v>4304</x:v>
      </x:c>
      <x:c r="D10" s="11" t="str">
        <x:v>POSEIDON ürün / taslak</x:v>
      </x:c>
      <x:c r="E10" s="11" t="str">
        <x:v>ÖRNEK:TUG</x:v>
      </x:c>
      <x:c r="F10" s="11" t="str">
        <x:v>broader</x:v>
      </x:c>
      <x:c r="G10" s="11" t="str">
        <x:v>Açık Deniz Römorkörü. Ulusal kayıt belgesi ve kapsam teyidi gerekir; EN etiket resmi çeviri değildir.</x:v>
      </x:c>
      <x:c r="H10" s="11" t="str">
        <x:v>OTOMATİK YOK</x:v>
      </x:c>
      <x:c r="I10" s="11" t="str">
        <x:v>S8, S9</x:v>
      </x:c>
    </x:row>
    <x:row r="11" ht="32.25" customHeight="1">
      <x:c r="A11" s="12" t="str">
        <x:v>M06</x:v>
      </x:c>
      <x:c r="B11" s="12" t="str">
        <x:v>UAB sicil cinsleri / dosya08-2026</x:v>
      </x:c>
      <x:c r="C11" s="12" t="str">
        <x:v>4305</x:v>
      </x:c>
      <x:c r="D11" s="12" t="str">
        <x:v>POSEIDON ürün / taslak</x:v>
      </x:c>
      <x:c r="E11" s="12" t="str">
        <x:v>ÖRNEK:TUG</x:v>
      </x:c>
      <x:c r="F11" s="12" t="str">
        <x:v>broader</x:v>
      </x:c>
      <x:c r="G11" s="12" t="str">
        <x:v>Kılavuz Römorkörleri. Ürün mimarisi veya AIS52 ile birebir eşitlenmez.</x:v>
      </x:c>
      <x:c r="H11" s="12" t="str">
        <x:v>OTOMATİK YOK</x:v>
      </x:c>
      <x:c r="I11" s="12" t="str">
        <x:v>S9</x:v>
      </x:c>
    </x:row>
    <x:row r="12" ht="35.25" customHeight="1">
      <x:c r="A12" s="11" t="str">
        <x:v>M07</x:v>
      </x:c>
      <x:c r="B12" s="11" t="str">
        <x:v>UAB sicil cinsleri / dosya08-2026</x:v>
      </x:c>
      <x:c r="C12" s="11" t="str">
        <x:v>4202</x:v>
      </x:c>
      <x:c r="D12" s="11" t="str">
        <x:v>POSEIDON ürün / taslak</x:v>
      </x:c>
      <x:c r="E12" s="11" t="str">
        <x:v>Henüz yok</x:v>
      </x:c>
      <x:c r="F12" s="11" t="str">
        <x:v>no_mapping</x:v>
      </x:c>
      <x:c r="G12" s="11" t="str">
        <x:v>Çeki kabiliyeti açık deniz destek gemisini otomatik römorkör sicil cinsi yapmaz.</x:v>
      </x:c>
      <x:c r="H12" s="11" t="str">
        <x:v>OTOMATİK YOK</x:v>
      </x:c>
      <x:c r="I12" s="11" t="str">
        <x:v>S9</x:v>
      </x:c>
    </x:row>
    <x:row r="13" ht="35.25" customHeight="1">
      <x:c r="A13" s="12" t="str">
        <x:v>M08</x:v>
      </x:c>
      <x:c r="B13" s="12" t="str">
        <x:v>Legacy beyan / mevcut</x:v>
      </x:c>
      <x:c r="C13" s="12" t="str">
        <x:v>Türkiye / Turkey / TR</x:v>
      </x:c>
      <x:c r="D13" s="12" t="str">
        <x:v>Bayrak idaresi / henüz onaysız</x:v>
      </x:c>
      <x:c r="E13" s="12" t="str">
        <x:v>Henüz yok</x:v>
      </x:c>
      <x:c r="F13" s="12" t="str">
        <x:v>no_mapping</x:v>
      </x:c>
      <x:c r="G13" s="12" t="str">
        <x:v>Alias aramada aday gösterebilir. Eski kayıt LEGACY_UNRESOLVED kalır, açık seçim gerekir.</x:v>
      </x:c>
      <x:c r="H13" s="12" t="str">
        <x:v>OTOMATİK YOK</x:v>
      </x:c>
      <x:c r="I13" s="12" t="str">
        <x:v>T01</x:v>
      </x:c>
    </x:row>
    <x:row r="14" ht="35.25" customHeight="1">
      <x:c r="A14" s="11" t="str">
        <x:v>M09</x:v>
      </x:c>
      <x:c r="B14" s="11" t="str">
        <x:v>Legacy beyan / mevcut</x:v>
      </x:c>
      <x:c r="C14" s="11" t="str">
        <x:v>römorkör / romorkor / tug</x:v>
      </x:c>
      <x:c r="D14" s="11" t="str">
        <x:v>Ürün tipi / henüz onaysız</x:v>
      </x:c>
      <x:c r="E14" s="11" t="str">
        <x:v>Henüz yok</x:v>
      </x:c>
      <x:c r="F14" s="11" t="str">
        <x:v>no_mapping</x:v>
      </x:c>
      <x:c r="G14" s="11" t="str">
        <x:v>TR/EN alias başlangıç migrasyon kuralı değildir. Kod gibi metin bile atanmaz.</x:v>
      </x:c>
      <x:c r="H14" s="11" t="str">
        <x:v>OTOMATİK YOK</x:v>
      </x:c>
      <x:c r="I14" s="11" t="str">
        <x:v>T01</x:v>
      </x:c>
    </x:row>
    <x:row r="15" ht="32.25" customHeight="1">
      <x:c r="A15" s="12" t="str">
        <x:v>M10</x:v>
      </x:c>
      <x:c r="B15" s="12" t="str">
        <x:v>UNECE Rec.28 / hedef sürüm</x:v>
      </x:c>
      <x:c r="C15" s="12" t="str">
        <x:v>Seçilmedi</x:v>
      </x:c>
      <x:c r="D15" s="12" t="str">
        <x:v>EMSWe / hedef profil</x:v>
      </x:c>
      <x:c r="E15" s="12" t="str">
        <x:v>Seçilmedi</x:v>
      </x:c>
      <x:c r="F15" s="12" t="str">
        <x:v>conditional</x:v>
      </x:c>
      <x:c r="G15" s="12" t="str">
        <x:v>Kaynak/hedef versiyon ve detay seviyesi incelenmeden kodlar birleştirilmez.</x:v>
      </x:c>
      <x:c r="H15" s="12" t="str">
        <x:v>OTOMATİK YOK</x:v>
      </x:c>
      <x:c r="I15" s="12" t="str">
        <x:v>S5, S6, S7</x:v>
      </x:c>
    </x:row>
    <x:row r="16" ht="35.25" customHeight="1">
      <x:c r="A16" s="11" t="str">
        <x:v>M11</x:v>
      </x:c>
      <x:c r="B16" s="11" t="str">
        <x:v>Sentetik format1 / synthetic-test-1</x:v>
      </x:c>
      <x:c r="C16" s="11" t="str">
        <x:v>SYN-FLAG-A / SYN-TYPE-T</x:v>
      </x:c>
      <x:c r="D16" s="11" t="str">
        <x:v>Test-only katalog</x:v>
      </x:c>
      <x:c r="E16" s="11" t="str">
        <x:v>Sentetik kod</x:v>
      </x:c>
      <x:c r="F16" s="11" t="str">
        <x:v>exact</x:v>
      </x:c>
      <x:c r="G16" s="11" t="str">
        <x:v>Yalnız test içi özdeşlik örneği. Gerçek kaynak, hukuki geçerlilik veya üretim seed değildir.</x:v>
      </x:c>
      <x:c r="H16" s="11" t="str">
        <x:v>ÜRETİM YASAK</x:v>
      </x:c>
      <x:c r="I16" s="11" t="str">
        <x:v>T01</x:v>
      </x:c>
    </x:row>
    <x:row r="17" ht="35.25" customHeight="1">
      <x:c r="A17" s="12" t="str">
        <x:v>M12</x:v>
      </x:c>
      <x:c r="B17" s="12" t="str">
        <x:v>Gelecek onaylı eşleme / belirlenmedi</x:v>
      </x:c>
      <x:c r="C17" s="12" t="str">
        <x:v>Belirlenmedi</x:v>
      </x:c>
      <x:c r="D17" s="12" t="str">
        <x:v>Gelecek hedef / belirlenmedi</x:v>
      </x:c>
      <x:c r="E17" s="12" t="str">
        <x:v>Belirlenmedi</x:v>
      </x:c>
      <x:c r="F17" s="12" t="str">
        <x:v>exact</x:v>
      </x:c>
      <x:c r="G17" s="12" t="str">
        <x:v>İnsan onaylı sürüm+tekillik+kanıt+dry-run+geri alma sağlanmadan otomasyon açılmaz.</x:v>
      </x:c>
      <x:c r="H17" s="12" t="str">
        <x:v>AYRI GELECEK KAPISI</x:v>
      </x:c>
      <x:c r="I17" s="12" t="str">
        <x:v>T01</x:v>
      </x:c>
    </x:row>
  </x:sheetData>
  <x:pageMargins left="0.7" right="0.7" top="0.75" bottom="0.75" header="0.3" footer="0.3"/>
  <x:tableParts count="1">
    <x:tablePart xmlns:r="http://schemas.openxmlformats.org/officeDocument/2006/relationships" r:id="Re87eb80919eb41c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21" hidden="0" customWidth="1"/>
    <x:col min="3" max="3" width="37" hidden="0" customWidth="1"/>
    <x:col min="4" max="4" width="34" hidden="0" customWidth="1"/>
    <x:col min="5" max="5" width="32" hidden="0" customWidth="1"/>
    <x:col min="6" max="6" width="19" hidden="0" customWidth="1"/>
    <x:col min="7" max="7" width="31" hidden="0" customWidth="1"/>
    <x:col min="8" max="8" width="17" hidden="0" customWidth="1"/>
    <x:col min="9" max="9" width="1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Mevzuat ve sınıflandırma ayrımları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5" t="str">
        <x:v>Kapsam örnekleri; gemiye özgü hukuki karar veya tamamlanmış mevzuat matrisi değil.</x:v>
      </x:c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9" t="str">
        <x:v>Kural ID</x:v>
      </x:c>
      <x:c r="B5" s="9" t="str">
        <x:v>Enstrüman / konu</x:v>
      </x:c>
      <x:c r="C5" s="9" t="str">
        <x:v>Kaynakta doğrulanan kapsam</x:v>
      </x:c>
      <x:c r="D5" s="9" t="str">
        <x:v>Gerekli bağlam</x:v>
      </x:c>
      <x:c r="E5" s="9" t="str">
        <x:v>Yasak kısa yol</x:v>
      </x:c>
      <x:c r="F5" s="9" t="str">
        <x:v>Başlangıç durumu</x:v>
      </x:c>
      <x:c r="G5" s="9" t="str">
        <x:v>Kapanış kanıtı</x:v>
      </x:c>
      <x:c r="H5" s="9" t="str">
        <x:v>Dayanak türü</x:v>
      </x:c>
      <x:c r="I5" s="9" t="str">
        <x:v>Kaynak ID</x:v>
      </x:c>
    </x:row>
    <x:row r="6" ht="35.25" customHeight="1">
      <x:c r="A6" s="11" t="str">
        <x:v>U01</x:v>
      </x:c>
      <x:c r="B6" s="11" t="str">
        <x:v>Bayrak hakkı / sicil</x:v>
      </x:c>
      <x:c r="C6" s="11" t="str">
        <x:v>Devletin milliyet/kayıt/bayrak hakkı koşulları. 1986 kayıt sözleşmesi yürürlükte değil.</x:v>
      </x:c>
      <x:c r="D6" s="11" t="str">
        <x:v>İdare, sicil rejimi, belge, etkin dönem, bareboat ilişkisi</x:v>
      </x:c>
      <x:c r="E6" s="11" t="str">
        <x:v>ISO kodu vardır → geçerli bayrak hakkı</x:v>
      </x:c>
      <x:c r="F6" s="11" t="str">
        <x:v>unknown</x:v>
      </x:c>
      <x:c r="G6" s="11" t="str">
        <x:v>Uzman, güncel ulusal dayanak ve yetkili belge</x:v>
      </x:c>
      <x:c r="H6" s="11" t="str">
        <x:v>Hukuki kaynak</x:v>
      </x:c>
      <x:c r="I6" s="11" t="str">
        <x:v>S1, S2, S8</x:v>
      </x:c>
    </x:row>
    <x:row r="7" ht="35.25" customHeight="1">
      <x:c r="A7" s="12" t="str">
        <x:v>U02</x:v>
      </x:c>
      <x:c r="B7" s="12" t="str">
        <x:v>SOLAS genel / Bölüm V</x:v>
      </x:c>
      <x:c r="C7" s="12" t="str">
        <x:v>Bölümler farklı kapsam taşır. V genel olarak tüm gemi/seferler için operasyonel hükümler içerir.</x:v>
      </x:c>
      <x:c r="D7" s="12" t="str">
        <x:v>Instrument, edition, article, class, GT, sefer, faaliyet, istisna</x:v>
      </x:c>
      <x:c r="E7" s="12" t="str">
        <x:v>500 GT altı → bütün SOLAS uygulanmaz</x:v>
      </x:c>
      <x:c r="F7" s="12" t="str">
        <x:v>pending_expert_review</x:v>
      </x:c>
      <x:c r="G7" s="12" t="str">
        <x:v>Bölüm/madde bazında gerekçe, kaynak ve dönem</x:v>
      </x:c>
      <x:c r="H7" s="12" t="str">
        <x:v>Hukuki kaynak</x:v>
      </x:c>
      <x:c r="I7" s="12" t="str">
        <x:v>S10</x:v>
      </x:c>
    </x:row>
    <x:row r="8" ht="35.25" customHeight="1">
      <x:c r="A8" s="11" t="str">
        <x:v>U03</x:v>
      </x:c>
      <x:c r="B8" s="11" t="str">
        <x:v>AIS taşıma / SOLAS V/19</x:v>
      </x:c>
      <x:c r="C8" s="11" t="str">
        <x:v>Özet: uluslararası 300GT+; ulusal yük gemisi500GT+; yolcu gemileri boyuttan bağımsız.</x:v>
      </x:c>
      <x:c r="D8" s="11" t="str">
        <x:v>GT ve esası, mevzuat tipi, sefer, bayrak, ulusal uygulama, istisna</x:v>
      </x:c>
      <x:c r="E8" s="11" t="str">
        <x:v>Bütün römorkörler zorunlu / 299GT kesin muaf</x:v>
      </x:c>
      <x:c r="F8" s="11" t="str">
        <x:v>pending_expert_review</x:v>
      </x:c>
      <x:c r="G8" s="11" t="str">
        <x:v>Tam hüküm, ulusal uygulama ve istisna teyidi</x:v>
      </x:c>
      <x:c r="H8" s="11" t="str">
        <x:v>Hukuki kapsam özeti</x:v>
      </x:c>
      <x:c r="I8" s="11" t="str">
        <x:v>S11</x:v>
      </x:c>
    </x:row>
    <x:row r="9" ht="35.25" customHeight="1">
      <x:c r="A9" s="12" t="str">
        <x:v>U04</x:v>
      </x:c>
      <x:c r="B9" s="12" t="str">
        <x:v>ISM / SOLAS IX</x:v>
      </x:c>
      <x:c r="C9" s="12" t="str">
        <x:v>Uluslararası yolcu ve belirtilen500GT+ yük/MODU grupları ayrılır. Ulusal kapsam daha geniş olabilir.</x:v>
      </x:c>
      <x:c r="D9" s="12" t="str">
        <x:v>Bayrak, faaliyet ülkesi, sefer, mevzuat tipi, GT, ulusal sürüm</x:v>
      </x:c>
      <x:c r="E9" s="12" t="str">
        <x:v>Ürün TUG seçildi → ISM kapsamı kesin</x:v>
      </x:c>
      <x:c r="F9" s="12" t="str">
        <x:v>pending_expert_review</x:v>
      </x:c>
      <x:c r="G9" s="12" t="str">
        <x:v>Hukuk/klas değerlendirmesi. Kanada özeti TR hukuku değildir.</x:v>
      </x:c>
      <x:c r="H9" s="12" t="str">
        <x:v>Otorite kapsam özeti</x:v>
      </x:c>
      <x:c r="I9" s="12" t="str">
        <x:v>S14</x:v>
      </x:c>
    </x:row>
    <x:row r="10" ht="35.25" customHeight="1">
      <x:c r="A10" s="11" t="str">
        <x:v>U05</x:v>
      </x:c>
      <x:c r="B10" s="11" t="str">
        <x:v>MARPOL VI / EEXI / CII</x:v>
      </x:c>
      <x:c r="C10" s="11" t="str">
        <x:v>Annex VI, bölüm4/sörvey ve5000GT CII eşikleri aynı kapsam değildir. Tip/sefer koşulları önemli.</x:v>
      </x:c>
      <x:c r="D10" s="11" t="str">
        <x:v>GT, tanımlı tip, sefer, yapı/değişim tarihi, ilgili madde ve istisna</x:v>
      </x:c>
      <x:c r="E10" s="11" t="str">
        <x:v>5000GT+ her römorkör CII / 400GT altı MARPOL yok</x:v>
      </x:c>
      <x:c r="F10" s="11" t="str">
        <x:v>pending_expert_review</x:v>
      </x:c>
      <x:c r="G10" s="11" t="str">
        <x:v>İlgili sınıf, madde, bayrak ve ulusal uygulama teyidi</x:v>
      </x:c>
      <x:c r="H10" s="11" t="str">
        <x:v>Hukuki kapsam özeti</x:v>
      </x:c>
      <x:c r="I10" s="11" t="str">
        <x:v>S15</x:v>
      </x:c>
    </x:row>
    <x:row r="11" ht="35.25" customHeight="1">
      <x:c r="A11" s="12" t="str">
        <x:v>U06</x:v>
      </x:c>
      <x:c r="B11" s="12" t="str">
        <x:v>Türkiye gemi sicili</x:v>
      </x:c>
      <x:c r="C11" s="12" t="str">
        <x:v>12.05.2023/32188 indeks kaydı. UAB PDF araştırmacı metin okumasına dayanır; bağımsız yeniden teyit edilmedi.</x:v>
      </x:c>
      <x:c r="D11" s="12" t="str">
        <x:v>Sicil rejimi, belge, güncel değişiklikler, kayıt cinsi</x:v>
      </x:c>
      <x:c r="E11" s="12" t="str">
        <x:v>2021 taslağı yürürlükte / 08-2026 adı hukuki onay tarihi</x:v>
      </x:c>
      <x:c r="F11" s="12" t="str">
        <x:v>pending_expert_review</x:v>
      </x:c>
      <x:c r="G11" s="12" t="str">
        <x:v>Güncel metin, idari onay tarihi ve lisans uzman teyidi.</x:v>
      </x:c>
      <x:c r="H11" s="12" t="str">
        <x:v>Ulusal kaynak</x:v>
      </x:c>
      <x:c r="I11" s="12" t="str">
        <x:v>S8, S9</x:v>
      </x:c>
    </x:row>
    <x:row r="12" ht="35.25" customHeight="1">
      <x:c r="A12" s="11" t="str">
        <x:v>U07</x:v>
      </x:c>
      <x:c r="B12" s="11" t="str">
        <x:v>IMO numarası</x:v>
      </x:c>
      <x:c r="C12" s="11" t="str">
        <x:v>Mevcut gemi numarası yedi hane. Sekiz hane koşullu gelecek ifadesidir.</x:v>
      </x:c>
      <x:c r="D12" s="11" t="str">
        <x:v>Atama statüsü, string numara, 7 hane checksum, atama kanıtı</x:v>
      </x:c>
      <x:c r="E12" s="11" t="str">
        <x:v>Gelecek açıklaması → bugün 8 hane validator aktif</x:v>
      </x:c>
      <x:c r="F12" s="11" t="str">
        <x:v>unknown</x:v>
      </x:c>
      <x:c r="G12" s="11" t="str">
        <x:v>Resmi geçiş tarihi/teknik kurallar olmadan genişletme yok</x:v>
      </x:c>
      <x:c r="H12" s="11" t="str">
        <x:v>Kimlik standardı</x:v>
      </x:c>
      <x:c r="I12" s="11" t="str">
        <x:v>S12, S13</x:v>
      </x:c>
    </x:row>
    <x:row r="13" ht="35.25" customHeight="1">
      <x:c r="A13" s="12" t="str">
        <x:v>U08</x:v>
      </x:c>
      <x:c r="B13" s="12" t="str">
        <x:v>AIS / sicil / ürün sınıfı</x:v>
      </x:c>
      <x:c r="C13" s="12" t="str">
        <x:v>AIS52, UAB4304/4305 ve ürün TUG farklı amaçlı sınıflamalardır.</x:v>
      </x:c>
      <x:c r="D13" s="12" t="str">
        <x:v>Şema, sürüm, ham kod, belge/gözlem, koşullu eşleme</x:v>
      </x:c>
      <x:c r="E13" s="12" t="str">
        <x:v>Sayı veya etiket benzerliği → hukuki eşdeğerlik</x:v>
      </x:c>
      <x:c r="F13" s="12" t="str">
        <x:v>unknown</x:v>
      </x:c>
      <x:c r="G13" s="12" t="str">
        <x:v>Her eşlemeye sürüm, gerekçe ve onay</x:v>
      </x:c>
      <x:c r="H13" s="12" t="str">
        <x:v>Standart + ürün ayrımı</x:v>
      </x:c>
      <x:c r="I13" s="12" t="str">
        <x:v>S3, S4, S9</x:v>
      </x:c>
    </x:row>
    <x:row r="14" ht="35.25" customHeight="1">
      <x:c r="A14" s="11" t="str">
        <x:v>U09</x:v>
      </x:c>
      <x:c r="B14" s="11" t="str">
        <x:v>Diğer araçlar ve ulusal izinler</x:v>
      </x:c>
      <x:c r="C14" s="11" t="str">
        <x:v>MLC, ISPS, Load Lines, tonaj, ulusal teknik kurallar ve faaliyet izinleri bu örneklerin dışında.</x:v>
      </x:c>
      <x:c r="D14" s="11" t="str">
        <x:v>Filo kapsamı, bayrak, sefer, faaliyet, sertifika ve ilgili enstrüman</x:v>
      </x:c>
      <x:c r="E14" s="11" t="str">
        <x:v>Bu matris tüm mevzuatı tamamlar</x:v>
      </x:c>
      <x:c r="F14" s="11" t="str">
        <x:v>pending_expert_review</x:v>
      </x:c>
      <x:c r="G14" s="11" t="str">
        <x:v>Ayrı kapsam planı ve yetkili uzman incelemesi</x:v>
      </x:c>
      <x:c r="H14" s="11" t="str">
        <x:v>Kapsam boşluğu</x:v>
      </x:c>
      <x:c r="I14" s="11" t="str">
        <x:v>S10, S14, S15</x:v>
      </x:c>
    </x:row>
    <x:row r="15" ht="48" customHeight="1">
      <x:c r="A15" s="12" t="str">
        <x:v>U10</x:v>
      </x:c>
      <x:c r="B15" s="12" t="str">
        <x:v>Karar semantiği</x:v>
      </x:c>
      <x:c r="C15" s="12" t="str">
        <x:v>applies / does_not_apply / unknown / pending_expert_review ayrı durumlar.</x:v>
      </x:c>
      <x:c r="D15" s="12" t="str">
        <x:v>instrument, edition, article, decision, reason, evidence, reviewer, timestamp</x:v>
      </x:c>
      <x:c r="E15" s="12" t="str">
        <x:v>Null veya eksik GT → does_not_apply</x:v>
      </x:c>
      <x:c r="F15" s="12" t="str">
        <x:v>unknown</x:v>
      </x:c>
      <x:c r="G15" s="12" t="str">
        <x:v>07.01 LEG-G01–07 ve08.01 VAL-01–07 OPEN.09.02 Input Catalog4–5 zorunluluğu değerlendirme içindir, envanter DRAFT değil.</x:v>
      </x:c>
      <x:c r="H15" s="12" t="str">
        <x:v>Ürün önerisi</x:v>
      </x:c>
      <x:c r="I15" s="12" t="str">
        <x:v>S10, S11, S14, S15, E01</x:v>
      </x:c>
    </x:row>
  </x:sheetData>
  <x:pageMargins left="0.7" right="0.7" top="0.75" bottom="0.75" header="0.3" footer="0.3"/>
  <x:tableParts count="1">
    <x:tablePart xmlns:r="http://schemas.openxmlformats.org/officeDocument/2006/relationships" r:id="R01bbc2aefb724c0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18" hidden="0" customWidth="1"/>
    <x:col min="3" max="3" width="25.5" hidden="0" customWidth="1"/>
    <x:col min="4" max="4" width="7.5" hidden="0" customWidth="1"/>
    <x:col min="5" max="5" width="37" hidden="0" customWidth="1"/>
    <x:col min="6" max="6" width="41" hidden="0" customWidth="1"/>
    <x:col min="7" max="7" width="35" hidden="0" customWidth="1"/>
    <x:col min="8" max="8" width="1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Rakip bulguları ve POSEIDON önerileri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5" t="str">
        <x:v>A doğrudan dokümantasyon; B satıcı beyanı; Y doğrulanmadı. Hiçbiri çalışan ürün testidir demek değil.</x:v>
      </x:c>
      <x:c r="B4" s="2"/>
      <x:c r="C4" s="2"/>
      <x:c r="D4" s="2"/>
      <x:c r="E4" s="2"/>
      <x:c r="F4" s="2"/>
      <x:c r="G4" s="2"/>
      <x:c r="H4" s="2"/>
    </x:row>
    <x:row r="5" ht="32" customHeight="1">
      <x:c r="A5" s="9" t="str">
        <x:v>Bulgu ID</x:v>
      </x:c>
      <x:c r="B5" s="9" t="str">
        <x:v>Ürün</x:v>
      </x:c>
      <x:c r="C5" s="9" t="str">
        <x:v>Boyut</x:v>
      </x:c>
      <x:c r="D5" s="9" t="str">
        <x:v>Seviye</x:v>
      </x:c>
      <x:c r="E5" s="9" t="str">
        <x:v>Doğrulanan bulgu</x:v>
      </x:c>
      <x:c r="F5" s="9" t="str">
        <x:v>Sınır / doğrulanmayan</x:v>
      </x:c>
      <x:c r="G5" s="9" t="str">
        <x:v>POSEIDON ürün kararı</x:v>
      </x:c>
      <x:c r="H5" s="9" t="str">
        <x:v>Kaynak ID</x:v>
      </x:c>
    </x:row>
    <x:row r="6" ht="35.25" customHeight="1">
      <x:c r="A6" s="11" t="str">
        <x:v>R01</x:v>
      </x:c>
      <x:c r="B6" s="11" t="str">
        <x:v>BASSnet HR</x:v>
      </x:c>
      <x:c r="C6" s="11" t="str">
        <x:v>Bayrak + gemi tipi lookup; registry port ayrı</x:v>
      </x:c>
      <x:c r="D6" s="11" t="str">
        <x:v>A</x:v>
      </x:c>
      <x:c r="E6" s="11" t="str">
        <x:v>Vessel Particulars alanları doğrudan belgelenmiş.</x:v>
      </x:c>
      <x:c r="F6" s="11" t="str">
        <x:v>Arama/klavye, kod standardı ve filtreyle aynı kaynak kanıtı yok.</x:v>
      </x:c>
      <x:c r="G6" s="11" t="str">
        <x:v>Ortak kontrollü seçim POSEIDON önerisi.</x:v>
      </x:c>
      <x:c r="H6" s="11" t="str">
        <x:v>C01</x:v>
      </x:c>
    </x:row>
    <x:row r="7" ht="35.25" customHeight="1">
      <x:c r="A7" s="12" t="str">
        <x:v>R02</x:v>
      </x:c>
      <x:c r="B7" s="12" t="str">
        <x:v>BASSnet CRM</x:v>
      </x:c>
      <x:c r="C7" s="12" t="str">
        <x:v>Kod/açıklama/kısaltma/grup ve Active</x:v>
      </x:c>
      <x:c r="D7" s="12" t="str">
        <x:v>A</x:v>
      </x:c>
      <x:c r="E7" s="12" t="str">
        <x:v>Vessel Type Register ve erişim hakkı belgelenmiş.</x:v>
      </x:c>
      <x:c r="F7" s="12" t="str">
        <x:v>HR/CRM tek şema varsayılmaz. Kod uzunluğu açıklaması çelişkili; bağlı kayıtta silme etkisi yok.</x:v>
      </x:c>
      <x:c r="G7" s="12" t="str">
        <x:v>Kod/etiket ayrımı ve pasifleştirme önerisi.</x:v>
      </x:c>
      <x:c r="H7" s="12" t="str">
        <x:v>C02</x:v>
      </x:c>
    </x:row>
    <x:row r="8" ht="35.25" customHeight="1">
      <x:c r="A8" s="11" t="str">
        <x:v>R03</x:v>
      </x:c>
      <x:c r="B8" s="11" t="str">
        <x:v>smartPAL</x:v>
      </x:c>
      <x:c r="C8" s="11" t="str">
        <x:v>Merkezi master-data ve vessel register</x:v>
      </x:c>
      <x:c r="D8" s="11" t="str">
        <x:v>B</x:v>
      </x:c>
      <x:c r="E8" s="11" t="str">
        <x:v>MDM, modüller arası paylaşım ve register import/export beyanı.</x:v>
      </x:c>
      <x:c r="F8" s="11" t="str">
        <x:v>Bayrak/tip widget, filtre eşleşmesi ve yetki ayrıntısı Y.</x:v>
      </x:c>
      <x:c r="G8" s="11" t="str">
        <x:v>Tek kaynak mimarisi önerisi.</x:v>
      </x:c>
      <x:c r="H8" s="11" t="str">
        <x:v>C03</x:v>
      </x:c>
    </x:row>
    <x:row r="9" ht="35.25" customHeight="1">
      <x:c r="A9" s="12" t="str">
        <x:v>R04</x:v>
      </x:c>
      <x:c r="B9" s="12" t="str">
        <x:v>smartPAL</x:v>
      </x:c>
      <x:c r="C9" s="12" t="str">
        <x:v>Teknik veri kütüphanesi</x:v>
      </x:c>
      <x:c r="D9" s="12" t="str">
        <x:v>B</x:v>
      </x:c>
      <x:c r="E9" s="12" t="str">
        <x:v>Ekipman/iş/yedek parça merkezileştirme ve Excel yükleme beyanı.</x:v>
      </x:c>
      <x:c r="F9" s="12" t="str">
        <x:v>Bayrak/tip katalog import yeteneği olarak genellenmez.</x:v>
      </x:c>
      <x:c r="G9" s="12" t="str">
        <x:v>Kontrollü aktarım disiplini; alan kanıtı değil.</x:v>
      </x:c>
      <x:c r="H9" s="12" t="str">
        <x:v>C04</x:v>
      </x:c>
    </x:row>
    <x:row r="10" ht="35.25" customHeight="1">
      <x:c r="A10" s="11" t="str">
        <x:v>R05</x:v>
      </x:c>
      <x:c r="B10" s="11" t="str">
        <x:v>DNV ShipManager</x:v>
      </x:c>
      <x:c r="C10" s="11" t="str">
        <x:v>Entegre modüller ve migrasyon hizmeti</x:v>
      </x:c>
      <x:c r="D10" s="11" t="str">
        <x:v>B</x:v>
      </x:c>
      <x:c r="E10" s="11" t="str">
        <x:v>PMS/procurement/QHSE, veri yakalama ve filo sicili hizmeti.</x:v>
      </x:c>
      <x:c r="F10" s="11" t="str">
        <x:v>Bayrak/tip formu, referans yönetimi veya TR arama Y.</x:v>
      </x:c>
      <x:c r="G10" s="11" t="str">
        <x:v>Geçiş iş planı önerisi.</x:v>
      </x:c>
      <x:c r="H10" s="11" t="str">
        <x:v>C05</x:v>
      </x:c>
    </x:row>
    <x:row r="11" ht="35.25" customHeight="1">
      <x:c r="A11" s="12" t="str">
        <x:v>R06</x:v>
      </x:c>
      <x:c r="B11" s="12" t="str">
        <x:v>SpecTec AMOS-X</x:v>
      </x:c>
      <x:c r="C11" s="12" t="str">
        <x:v>Merkezi teknik yapı ve mobil iş akışı</x:v>
      </x:c>
      <x:c r="D11" s="12" t="str">
        <x:v>B</x:v>
      </x:c>
      <x:c r="E11" s="12" t="str">
        <x:v>Rol bazlı arayüz, filo yapılandırması, modüler geçiş beyanı.</x:v>
      </x:c>
      <x:c r="F11" s="12" t="str">
        <x:v>Bayrak/tip davranışı, combobox/klavye ve özel alan kanıtı Y.</x:v>
      </x:c>
      <x:c r="G11" s="12" t="str">
        <x:v>Mobil/erişilebilirlik kabul hedefleri POSEIDON ürününe ait.</x:v>
      </x:c>
      <x:c r="H11" s="12" t="str">
        <x:v>C06</x:v>
      </x:c>
    </x:row>
    <x:row r="12" ht="35.25" customHeight="1">
      <x:c r="A12" s="11" t="str">
        <x:v>R07</x:v>
      </x:c>
      <x:c r="B12" s="11" t="str">
        <x:v>SpecTec AMOS</x:v>
      </x:c>
      <x:c r="C12" s="11" t="str">
        <x:v>Migrasyon hizmeti</x:v>
      </x:c>
      <x:c r="D12" s="11" t="str">
        <x:v>B</x:v>
      </x:c>
      <x:c r="E12" s="11" t="str">
        <x:v>Üçüncü taraf/Excel geçişi ve ofis-gemi senkronizasyon hizmeti.</x:v>
      </x:c>
      <x:c r="F12" s="11" t="str">
        <x:v>Otomatik bayrak/tip eşleme ve tarihçe algoritması Y.</x:v>
      </x:c>
      <x:c r="G12" s="11" t="str">
        <x:v>Dry-run ve geri alma önerisi.</x:v>
      </x:c>
      <x:c r="H12" s="11" t="str">
        <x:v>C07</x:v>
      </x:c>
    </x:row>
    <x:row r="13" ht="35.25" customHeight="1">
      <x:c r="A13" s="12" t="str">
        <x:v>R08</x:v>
      </x:c>
      <x:c r="B13" s="12" t="str">
        <x:v>İncelenen dört ürün</x:v>
      </x:c>
      <x:c r="C13" s="12" t="str">
        <x:v>Seçenek içinde arama ve TR normalizasyonu</x:v>
      </x:c>
      <x:c r="D13" s="12" t="str">
        <x:v>Y</x:v>
      </x:c>
      <x:c r="E13" s="12" t="str">
        <x:v>İncelenen kamu kaynakları bu ayrıntıyı doğrulamadı.</x:v>
      </x:c>
      <x:c r="F13" s="12" t="str">
        <x:v>Y = üründe yok demek değildir; çalışan ürün testi yapılmadı.</x:v>
      </x:c>
      <x:c r="G13" s="12" t="str">
        <x:v>TR/EN alias, I/İ/ı/i ve klavye testleri özgün hedef.</x:v>
      </x:c>
      <x:c r="H13" s="12" t="str">
        <x:v>C01–C07</x:v>
      </x:c>
    </x:row>
    <x:row r="14" ht="32.25" customHeight="1">
      <x:c r="A14" s="11" t="str">
        <x:v>R09</x:v>
      </x:c>
      <x:c r="B14" s="11" t="str">
        <x:v>İncelenen dört ürün</x:v>
      </x:c>
      <x:c r="C14" s="11" t="str">
        <x:v>Bayrak/tip değişiklik tarihçesi</x:v>
      </x:c>
      <x:c r="D14" s="11" t="str">
        <x:v>Y</x:v>
      </x:c>
      <x:c r="E14" s="11" t="str">
        <x:v>Bu alanlar için tarihçe davranışı doğrulanmadı.</x:v>
      </x:c>
      <x:c r="F14" s="11" t="str">
        <x:v>Vessel inactive ile referans değeri inactive aynı değildir.</x:v>
      </x:c>
      <x:c r="G14" s="11" t="str">
        <x:v>Tarihçeli atama ve eski etiket snapshot önerisi.</x:v>
      </x:c>
      <x:c r="H14" s="11" t="str">
        <x:v>C01–C07</x:v>
      </x:c>
    </x:row>
    <x:row r="15" ht="35.25" customHeight="1">
      <x:c r="A15" s="12" t="str">
        <x:v>R10</x:v>
      </x:c>
      <x:c r="B15" s="12" t="str">
        <x:v>İncelenen dört ürün</x:v>
      </x:c>
      <x:c r="C15" s="12" t="str">
        <x:v>Form-filtre aynı kod kümesi</x:v>
      </x:c>
      <x:c r="D15" s="12" t="str">
        <x:v>Y</x:v>
      </x:c>
      <x:c r="E15" s="12" t="str">
        <x:v>C02 sistem geneli referans; C03 ortak MDM yaklaşımı.</x:v>
      </x:c>
      <x:c r="F15" s="12" t="str">
        <x:v>Bu iki ifade form/filtre özdeşliği veya offline davranış ispatı değil.</x:v>
      </x:c>
      <x:c r="G15" s="12" t="str">
        <x:v>Tek revision/entry kaynağı kabul testine bağlanır.</x:v>
      </x:c>
      <x:c r="H15" s="12" t="str">
        <x:v>C02, C03</x:v>
      </x:c>
    </x:row>
    <x:row r="16" ht="35.25" customHeight="1">
      <x:c r="A16" s="11" t="str">
        <x:v>R11</x:v>
      </x:c>
      <x:c r="B16" s="11" t="str">
        <x:v>Kanıt yöntemi</x:v>
      </x:c>
      <x:c r="C16" s="11" t="str">
        <x:v>A / B / Y ayrımı</x:v>
      </x:c>
      <x:c r="D16" s="11" t="str">
        <x:v>Yöntem</x:v>
      </x:c>
      <x:c r="E16" s="11" t="str">
        <x:v>A: resmi yardım; B: resmi satıcı beyanı; Y: araştırmada doğrulanmadı.</x:v>
      </x:c>
      <x:c r="F16" s="11" t="str">
        <x:v>Özel erişim, oturum, kullanıcı ekranı veya performans deneyi yok.</x:v>
      </x:c>
      <x:c r="G16" s="11" t="str">
        <x:v>Rakip kanıtı ile ürün önerisi karıştırılmaz.</x:v>
      </x:c>
      <x:c r="H16" s="11" t="str">
        <x:v>C01–C07</x:v>
      </x:c>
    </x:row>
  </x:sheetData>
  <x:pageMargins left="0.7" right="0.7" top="0.75" bottom="0.75" header="0.3" footer="0.3"/>
  <x:tableParts count="1">
    <x:tablePart xmlns:r="http://schemas.openxmlformats.org/officeDocument/2006/relationships" r:id="Rf9a7a1510ae5458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5" hidden="0" customWidth="1"/>
    <x:col min="2" max="2" width="6.5" hidden="0" customWidth="1"/>
    <x:col min="3" max="3" width="22" hidden="0" customWidth="1"/>
    <x:col min="4" max="4" width="56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9" hidden="0" customWidth="1"/>
    <x:col min="10" max="10" width="13.5" hidden="0" customWidth="1"/>
    <x:col min="11" max="11" width="2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Geçiş ve kabul planı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5" t="str">
        <x:v>Sarı alanlar editlenebilir inceleme kaydıdır. Satır kapanışı üretime dağıtım yetkisi vermez.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9" t="str">
        <x:v>Vaka ID</x:v>
      </x:c>
      <x:c r="B5" s="9" t="str">
        <x:v>Kapı</x:v>
      </x:c>
      <x:c r="C5" s="9" t="str">
        <x:v>Konu</x:v>
      </x:c>
      <x:c r="D5" s="9" t="str">
        <x:v>Beklenen kanıt / kabul koşulu</x:v>
      </x:c>
      <x:c r="E5" s="9" t="str">
        <x:v>Teknik karar</x:v>
      </x:c>
      <x:c r="F5" s="9" t="str">
        <x:v>Kanıt kaydı</x:v>
      </x:c>
      <x:c r="G5" s="9" t="str">
        <x:v>Yetkili onay</x:v>
      </x:c>
      <x:c r="H5" s="9" t="str">
        <x:v>Hesaplanan durum</x:v>
      </x:c>
      <x:c r="I5" s="9" t="str">
        <x:v>Önerilen sorumlu</x:v>
      </x:c>
      <x:c r="J5" s="9" t="str">
        <x:v>Kaynak ID</x:v>
      </x:c>
      <x:c r="K5" s="9" t="str">
        <x:v>Kanıt / karar referansı</x:v>
      </x:c>
    </x:row>
    <x:row r="6" ht="32.25" customHeight="1">
      <x:c r="A6" s="11" t="str">
        <x:v>A01</x:v>
      </x:c>
      <x:c r="B6" s="11" t="str">
        <x:v>G01</x:v>
      </x:c>
      <x:c r="C6" s="11" t="str">
        <x:v>Bayrak kataloğu kapsamı</x:v>
      </x:c>
      <x:c r="D6" s="11" t="str">
        <x:v>Yetkili idare listesi, kapsam, tarihsel kayıt ve lisans sahibi onayı.</x:v>
      </x:c>
      <x:c r="E6" s="13" t="str">
        <x:v>Bekliyor</x:v>
      </x:c>
      <x:c r="F6" s="13" t="str">
        <x:v>Bekliyor</x:v>
      </x:c>
      <x:c r="G6" s="13" t="str">
        <x:v>Bekliyor</x:v>
      </x:c>
      <x:c r="H6" s="11" t="str">
        <x:f>IF(AND(E6="Onaylandı",F6="Kanıt eklendi",G6="Onaylandı",K6&lt;&gt;""),"Tamam","Açık")</x:f>
        <x:v>Açık</x:v>
      </x:c>
      <x:c r="I6" s="11" t="str">
        <x:v>Ürün + hukuk</x:v>
      </x:c>
      <x:c r="J6" s="11" t="str">
        <x:v>S1, S2, T01</x:v>
      </x:c>
      <x:c r="K6" s="13" t="str"/>
    </x:row>
    <x:row r="7" ht="32.25" customHeight="1">
      <x:c r="A7" s="12" t="str">
        <x:v>A02</x:v>
      </x:c>
      <x:c r="B7" s="12" t="str">
        <x:v>G01</x:v>
      </x:c>
      <x:c r="C7" s="12" t="str">
        <x:v>Ürün tip kataloğu</x:v>
      </x:c>
      <x:c r="D7" s="12" t="str">
        <x:v>Kategori/alt tip/rol/mimari ayrımı, SHIP/TUG kapsamı, TR/EN tanımlar onaylı.</x:v>
      </x:c>
      <x:c r="E7" s="13" t="str">
        <x:v>Bekliyor</x:v>
      </x:c>
      <x:c r="F7" s="13" t="str">
        <x:v>Bekliyor</x:v>
      </x:c>
      <x:c r="G7" s="13" t="str">
        <x:v>Bekliyor</x:v>
      </x:c>
      <x:c r="H7" s="12" t="str">
        <x:f>IF(AND(E7="Onaylandı",F7="Kanıt eklendi",G7="Onaylandı",K7&lt;&gt;""),"Tamam","Açık")</x:f>
        <x:v>Açık</x:v>
      </x:c>
      <x:c r="I7" s="12" t="str">
        <x:v>Ürün + denizcilik</x:v>
      </x:c>
      <x:c r="J7" s="12" t="str">
        <x:v>S9, T01</x:v>
      </x:c>
      <x:c r="K7" s="13" t="str"/>
    </x:row>
    <x:row r="8" ht="35.25" customHeight="1">
      <x:c r="A8" s="11" t="str">
        <x:v>A03</x:v>
      </x:c>
      <x:c r="B8" s="11" t="str">
        <x:v>G02</x:v>
      </x:c>
      <x:c r="C8" s="11" t="str">
        <x:v>Hukuki uygulanabilirlik</x:v>
      </x:c>
      <x:c r="D8" s="11" t="str">
        <x:v>Instrument/edition/article + bağlam + gerekçe + uzman kanıtı. unknown uygulanmaz değildir.</x:v>
      </x:c>
      <x:c r="E8" s="13" t="str">
        <x:v>Bekliyor</x:v>
      </x:c>
      <x:c r="F8" s="13" t="str">
        <x:v>Bekliyor</x:v>
      </x:c>
      <x:c r="G8" s="13" t="str">
        <x:v>Bekliyor</x:v>
      </x:c>
      <x:c r="H8" s="11" t="str">
        <x:f>IF(AND(E8="Onaylandı",F8="Kanıt eklendi",G8="Onaylandı",K8&lt;&gt;""),"Tamam","Açık")</x:f>
        <x:v>Açık</x:v>
      </x:c>
      <x:c r="I8" s="11" t="str">
        <x:v>Hukuk / klas</x:v>
      </x:c>
      <x:c r="J8" s="11" t="str">
        <x:v>S8, S10, S11, S14, S15</x:v>
      </x:c>
      <x:c r="K8" s="13" t="str"/>
    </x:row>
    <x:row r="9" ht="35.25" customHeight="1">
      <x:c r="A9" s="12" t="str">
        <x:v>A04</x:v>
      </x:c>
      <x:c r="B9" s="12" t="str">
        <x:v>G03</x:v>
      </x:c>
      <x:c r="C9" s="12" t="str">
        <x:v>Yeni şema sürümü</x:v>
      </x:c>
      <x:c r="D9" s="12" t="str">
        <x:v>format1 korunur. Yeni id/namespace/source_code/definition/mapping testleri. broader=target_broader_than_source; narrower=target_narrower_than_source. M05/M06 yönü ters çevrilmez.</x:v>
      </x:c>
      <x:c r="E9" s="13" t="str">
        <x:v>Bekliyor</x:v>
      </x:c>
      <x:c r="F9" s="13" t="str">
        <x:v>Bekliyor</x:v>
      </x:c>
      <x:c r="G9" s="13" t="str">
        <x:v>Bekliyor</x:v>
      </x:c>
      <x:c r="H9" s="12" t="str">
        <x:f>IF(AND(E9="Onaylandı",F9="Kanıt eklendi",G9="Onaylandı",K9&lt;&gt;""),"Tamam","Açık")</x:f>
        <x:v>Açık</x:v>
      </x:c>
      <x:c r="I9" s="12" t="str">
        <x:v>Mimari + QA</x:v>
      </x:c>
      <x:c r="J9" s="12" t="str">
        <x:v>T01</x:v>
      </x:c>
      <x:c r="K9" s="13" t="str"/>
    </x:row>
    <x:row r="10" ht="32.25" customHeight="1">
      <x:c r="A10" s="11" t="str">
        <x:v>A05</x:v>
      </x:c>
      <x:c r="B10" s="11" t="str">
        <x:v>G04</x:v>
      </x:c>
      <x:c r="C10" s="11" t="str">
        <x:v>v3 DTO ve saklama</x:v>
      </x:c>
      <x:c r="D10" s="11" t="str">
        <x:v>Ayrı flagCode/vesselTypeCode+revision. Nullable kod ekleme, eski beyan/audit korunumu.</x:v>
      </x:c>
      <x:c r="E10" s="13" t="str">
        <x:v>Bekliyor</x:v>
      </x:c>
      <x:c r="F10" s="13" t="str">
        <x:v>Bekliyor</x:v>
      </x:c>
      <x:c r="G10" s="13" t="str">
        <x:v>Bekliyor</x:v>
      </x:c>
      <x:c r="H10" s="11" t="str">
        <x:f>IF(AND(E10="Onaylandı",F10="Kanıt eklendi",G10="Onaylandı",K10&lt;&gt;""),"Tamam","Açık")</x:f>
        <x:v>Açık</x:v>
      </x:c>
      <x:c r="I10" s="11" t="str">
        <x:v>API + DB</x:v>
      </x:c>
      <x:c r="J10" s="11" t="str">
        <x:v>T01</x:v>
      </x:c>
      <x:c r="K10" s="13" t="str"/>
    </x:row>
    <x:row r="11" ht="35.25" customHeight="1">
      <x:c r="A11" s="12" t="str">
        <x:v>A06</x:v>
      </x:c>
      <x:c r="B11" s="12" t="str">
        <x:v>G04</x:v>
      </x:c>
      <x:c r="C11" s="12" t="str">
        <x:v>Eski writer ve409/replay</x:v>
      </x:c>
      <x:c r="D11" s="12" t="str">
        <x:v>409 önerisi/replay önceliği eski consumer ve DB writer regresyonuyla karara bağlanır; çözülmüş değil.</x:v>
      </x:c>
      <x:c r="E11" s="13" t="str">
        <x:v>Bekliyor</x:v>
      </x:c>
      <x:c r="F11" s="13" t="str">
        <x:v>Bekliyor</x:v>
      </x:c>
      <x:c r="G11" s="13" t="str">
        <x:v>Bekliyor</x:v>
      </x:c>
      <x:c r="H11" s="12" t="str">
        <x:f>IF(AND(E11="Onaylandı",F11="Kanıt eklendi",G11="Onaylandı",K11&lt;&gt;""),"Tamam","Açık")</x:f>
        <x:v>Açık</x:v>
      </x:c>
      <x:c r="I11" s="12" t="str">
        <x:v>API + QA</x:v>
      </x:c>
      <x:c r="J11" s="12" t="str">
        <x:v>T01</x:v>
      </x:c>
      <x:c r="K11" s="13" t="str"/>
    </x:row>
    <x:row r="12" ht="35.25" customHeight="1">
      <x:c r="A12" s="11" t="str">
        <x:v>A07</x:v>
      </x:c>
      <x:c r="B12" s="11" t="str">
        <x:v>G04</x:v>
      </x:c>
      <x:c r="C12" s="11" t="str">
        <x:v>Eski read/list/filter</x:v>
      </x:c>
      <x:c r="D12" s="11" t="str">
        <x:v>Exact text flag/vessel_type anlamı; kodlu kayıtların legacy projeksiyonda kaybolmaması; text+code birlikte400.</x:v>
      </x:c>
      <x:c r="E12" s="13" t="str">
        <x:v>Bekliyor</x:v>
      </x:c>
      <x:c r="F12" s="13" t="str">
        <x:v>Bekliyor</x:v>
      </x:c>
      <x:c r="G12" s="13" t="str">
        <x:v>Bekliyor</x:v>
      </x:c>
      <x:c r="H12" s="11" t="str">
        <x:f>IF(AND(E12="Onaylandı",F12="Kanıt eklendi",G12="Onaylandı",K12&lt;&gt;""),"Tamam","Açık")</x:f>
        <x:v>Açık</x:v>
      </x:c>
      <x:c r="I12" s="11" t="str">
        <x:v>API + QA</x:v>
      </x:c>
      <x:c r="J12" s="11" t="str">
        <x:v>T01</x:v>
      </x:c>
      <x:c r="K12" s="13" t="str"/>
    </x:row>
    <x:row r="13" ht="35.25" customHeight="1">
      <x:c r="A13" s="12" t="str">
        <x:v>A08</x:v>
      </x:c>
      <x:c r="B13" s="12" t="str">
        <x:v>G05</x:v>
      </x:c>
      <x:c r="C13" s="12" t="str">
        <x:v>İlk geçiş dry-run</x:v>
      </x:c>
      <x:c r="D13" s="12" t="str">
        <x:v>TR/Turkey/Türkiye/tug veya kod görünümlü metin otomatik atanmaz. LEGACY_UNRESOLVED ve ham değer kalır.</x:v>
      </x:c>
      <x:c r="E13" s="13" t="str">
        <x:v>Bekliyor</x:v>
      </x:c>
      <x:c r="F13" s="13" t="str">
        <x:v>Bekliyor</x:v>
      </x:c>
      <x:c r="G13" s="13" t="str">
        <x:v>Bekliyor</x:v>
      </x:c>
      <x:c r="H13" s="12" t="str">
        <x:f>IF(AND(E13="Onaylandı",F13="Kanıt eklendi",G13="Onaylandı",K13&lt;&gt;""),"Tamam","Açık")</x:f>
        <x:v>Açık</x:v>
      </x:c>
      <x:c r="I13" s="12" t="str">
        <x:v>Veri + QA</x:v>
      </x:c>
      <x:c r="J13" s="12" t="str">
        <x:v>T01</x:v>
      </x:c>
      <x:c r="K13" s="13" t="str"/>
    </x:row>
    <x:row r="14" ht="35.25" customHeight="1">
      <x:c r="A14" s="11" t="str">
        <x:v>A09</x:v>
      </x:c>
      <x:c r="B14" s="11" t="str">
        <x:v>G05</x:v>
      </x:c>
      <x:c r="C14" s="11" t="str">
        <x:v>Gelecek exact otomasyonu</x:v>
      </x:c>
      <x:c r="D14" s="11" t="str">
        <x:v>Ayrı insan onayı, tekil sürümlü eşleme, lisans, dry-run, örneklem ve rollback kanıtı olmadan açılmaz.</x:v>
      </x:c>
      <x:c r="E14" s="13" t="str">
        <x:v>Bekliyor</x:v>
      </x:c>
      <x:c r="F14" s="13" t="str">
        <x:v>Bekliyor</x:v>
      </x:c>
      <x:c r="G14" s="13" t="str">
        <x:v>Bekliyor</x:v>
      </x:c>
      <x:c r="H14" s="11" t="str">
        <x:f>IF(AND(E14="Onaylandı",F14="Kanıt eklendi",G14="Onaylandı",K14&lt;&gt;""),"Tamam","Açık")</x:f>
        <x:v>Açık</x:v>
      </x:c>
      <x:c r="I14" s="11" t="str">
        <x:v>Veri sahibi</x:v>
      </x:c>
      <x:c r="J14" s="11" t="str">
        <x:v>T01</x:v>
      </x:c>
      <x:c r="K14" s="13" t="str"/>
    </x:row>
    <x:row r="15" ht="35.25" customHeight="1">
      <x:c r="A15" s="12" t="str">
        <x:v>A10</x:v>
      </x:c>
      <x:c r="B15" s="12" t="str">
        <x:v>G05</x:v>
      </x:c>
      <x:c r="C15" s="12" t="str">
        <x:v>Adet ve rollback</x:v>
      </x:c>
      <x:c r="D15" s="12" t="str">
        <x:v>Önce/sonra toplam, çözülmemiş, istisna, aktif/pasif, audit ve eski değerler birlikte uzlaştırılır.</x:v>
      </x:c>
      <x:c r="E15" s="13" t="str">
        <x:v>Bekliyor</x:v>
      </x:c>
      <x:c r="F15" s="13" t="str">
        <x:v>Bekliyor</x:v>
      </x:c>
      <x:c r="G15" s="13" t="str">
        <x:v>Bekliyor</x:v>
      </x:c>
      <x:c r="H15" s="12" t="str">
        <x:f>IF(AND(E15="Onaylandı",F15="Kanıt eklendi",G15="Onaylandı",K15&lt;&gt;""),"Tamam","Açık")</x:f>
        <x:v>Açık</x:v>
      </x:c>
      <x:c r="I15" s="12" t="str">
        <x:v>Veri + release</x:v>
      </x:c>
      <x:c r="J15" s="12" t="str">
        <x:v>E01, T01</x:v>
      </x:c>
      <x:c r="K15" s="13" t="str"/>
    </x:row>
    <x:row r="16" ht="32.25" customHeight="1">
      <x:c r="A16" s="11" t="str">
        <x:v>A11</x:v>
      </x:c>
      <x:c r="B16" s="11" t="str">
        <x:v>G06</x:v>
      </x:c>
      <x:c r="C16" s="11" t="str">
        <x:v>Scope ve CSRF</x:v>
      </x:c>
      <x:c r="D16" s="11" t="str">
        <x:v>Tenant/company/vessel sınırı, CSRF reddi, yeni katalog yolundan yetki sızıntısı olmaması.</x:v>
      </x:c>
      <x:c r="E16" s="13" t="str">
        <x:v>Bekliyor</x:v>
      </x:c>
      <x:c r="F16" s="13" t="str">
        <x:v>Bekliyor</x:v>
      </x:c>
      <x:c r="G16" s="13" t="str">
        <x:v>Bekliyor</x:v>
      </x:c>
      <x:c r="H16" s="11" t="str">
        <x:f>IF(AND(E16="Onaylandı",F16="Kanıt eklendi",G16="Onaylandı",K16&lt;&gt;""),"Tamam","Açık")</x:f>
        <x:v>Açık</x:v>
      </x:c>
      <x:c r="I16" s="11" t="str">
        <x:v>Güvenlik + QA</x:v>
      </x:c>
      <x:c r="J16" s="11" t="str">
        <x:v>T01</x:v>
      </x:c>
      <x:c r="K16" s="13" t="str"/>
    </x:row>
    <x:row r="17" ht="35.25" customHeight="1">
      <x:c r="A17" s="12" t="str">
        <x:v>A12</x:v>
      </x:c>
      <x:c r="B17" s="12" t="str">
        <x:v>G06</x:v>
      </x:c>
      <x:c r="C17" s="12" t="str">
        <x:v>If-Match ve yarış</x:v>
      </x:c>
      <x:c r="D17" s="12" t="str">
        <x:v>Eski ETag/çift güncelleme, atomik audit ve katalog revision değişimi. Kirli form kaybı yok.</x:v>
      </x:c>
      <x:c r="E17" s="13" t="str">
        <x:v>Bekliyor</x:v>
      </x:c>
      <x:c r="F17" s="13" t="str">
        <x:v>Bekliyor</x:v>
      </x:c>
      <x:c r="G17" s="13" t="str">
        <x:v>Bekliyor</x:v>
      </x:c>
      <x:c r="H17" s="12" t="str">
        <x:f>IF(AND(E17="Onaylandı",F17="Kanıt eklendi",G17="Onaylandı",K17&lt;&gt;""),"Tamam","Açık")</x:f>
        <x:v>Açık</x:v>
      </x:c>
      <x:c r="I17" s="12" t="str">
        <x:v>API + QA</x:v>
      </x:c>
      <x:c r="J17" s="12" t="str">
        <x:v>T01</x:v>
      </x:c>
      <x:c r="K17" s="13" t="str"/>
    </x:row>
    <x:row r="18" ht="35.25" customHeight="1">
      <x:c r="A18" s="11" t="str">
        <x:v>A13</x:v>
      </x:c>
      <x:c r="B18" s="11" t="str">
        <x:v>G06</x:v>
      </x:c>
      <x:c r="C18" s="11" t="str">
        <x:v>Idempotency / belirsiz anahtar</x:v>
      </x:c>
      <x:c r="D18" s="11" t="str">
        <x:v>Eski uncertain key ve replay, yeniden deneme, eski writer409 önceliği, payload eşitliği regresyonu.</x:v>
      </x:c>
      <x:c r="E18" s="13" t="str">
        <x:v>Bekliyor</x:v>
      </x:c>
      <x:c r="F18" s="13" t="str">
        <x:v>Bekliyor</x:v>
      </x:c>
      <x:c r="G18" s="13" t="str">
        <x:v>Bekliyor</x:v>
      </x:c>
      <x:c r="H18" s="11" t="str">
        <x:f>IF(AND(E18="Onaylandı",F18="Kanıt eklendi",G18="Onaylandı",K18&lt;&gt;""),"Tamam","Açık")</x:f>
        <x:v>Açık</x:v>
      </x:c>
      <x:c r="I18" s="11" t="str">
        <x:v>API + QA</x:v>
      </x:c>
      <x:c r="J18" s="11" t="str">
        <x:v>T01</x:v>
      </x:c>
      <x:c r="K18" s="13" t="str"/>
    </x:row>
    <x:row r="19" ht="32.25" customHeight="1">
      <x:c r="A19" s="12" t="str">
        <x:v>A14</x:v>
      </x:c>
      <x:c r="B19" s="12" t="str">
        <x:v>G06</x:v>
      </x:c>
      <x:c r="C19" s="12" t="str">
        <x:v>Closure persistence</x:v>
      </x:c>
      <x:c r="D19" s="12" t="str">
        <x:v>Kapalı/reopen/state/mode sınırları yeni yazma yolu ve yeniden başlatma sonrası korunur.</x:v>
      </x:c>
      <x:c r="E19" s="13" t="str">
        <x:v>Bekliyor</x:v>
      </x:c>
      <x:c r="F19" s="13" t="str">
        <x:v>Bekliyor</x:v>
      </x:c>
      <x:c r="G19" s="13" t="str">
        <x:v>Bekliyor</x:v>
      </x:c>
      <x:c r="H19" s="12" t="str">
        <x:f>IF(AND(E19="Onaylandı",F19="Kanıt eklendi",G19="Onaylandı",K19&lt;&gt;""),"Tamam","Açık")</x:f>
        <x:v>Açık</x:v>
      </x:c>
      <x:c r="I19" s="12" t="str">
        <x:v>API + DB + QA</x:v>
      </x:c>
      <x:c r="J19" s="12" t="str">
        <x:v>T01</x:v>
      </x:c>
      <x:c r="K19" s="13" t="str"/>
    </x:row>
    <x:row r="20" ht="35.25" customHeight="1">
      <x:c r="A20" s="11" t="str">
        <x:v>A15</x:v>
      </x:c>
      <x:c r="B20" s="11" t="str">
        <x:v>G07</x:v>
      </x:c>
      <x:c r="C20" s="11" t="str">
        <x:v>Form ve filtre kaynağı</x:v>
      </x:c>
      <x:c r="D20" s="11" t="str">
        <x:v>Aynı revision/entry; yeni seçim aktif, tarihsel filtre pasif olabilir; unresolved ayrı filtre.</x:v>
      </x:c>
      <x:c r="E20" s="13" t="str">
        <x:v>Bekliyor</x:v>
      </x:c>
      <x:c r="F20" s="13" t="str">
        <x:v>Bekliyor</x:v>
      </x:c>
      <x:c r="G20" s="13" t="str">
        <x:v>Bekliyor</x:v>
      </x:c>
      <x:c r="H20" s="11" t="str">
        <x:f>IF(AND(E20="Onaylandı",F20="Kanıt eklendi",G20="Onaylandı",K20&lt;&gt;""),"Tamam","Açık")</x:f>
        <x:v>Açık</x:v>
      </x:c>
      <x:c r="I20" s="11" t="str">
        <x:v>UX + API</x:v>
      </x:c>
      <x:c r="J20" s="11" t="str">
        <x:v>T01</x:v>
      </x:c>
      <x:c r="K20" s="13" t="str"/>
    </x:row>
    <x:row r="21" ht="35.25" customHeight="1">
      <x:c r="A21" s="12" t="str">
        <x:v>A16</x:v>
      </x:c>
      <x:c r="B21" s="12" t="str">
        <x:v>G07</x:v>
      </x:c>
      <x:c r="C21" s="12" t="str">
        <x:v>Alias ve Türkçe arama</x:v>
      </x:c>
      <x:c r="D21" s="12" t="str">
        <x:v>I/İ/ı/i, römorkör/romorkor/tug; dil değişince stable code değişmez; sonuçsuz arama seed oluşturmaz.</x:v>
      </x:c>
      <x:c r="E21" s="13" t="str">
        <x:v>Bekliyor</x:v>
      </x:c>
      <x:c r="F21" s="13" t="str">
        <x:v>Bekliyor</x:v>
      </x:c>
      <x:c r="G21" s="13" t="str">
        <x:v>Bekliyor</x:v>
      </x:c>
      <x:c r="H21" s="12" t="str">
        <x:f>IF(AND(E21="Onaylandı",F21="Kanıt eklendi",G21="Onaylandı",K21&lt;&gt;""),"Tamam","Açık")</x:f>
        <x:v>Açık</x:v>
      </x:c>
      <x:c r="I21" s="12" t="str">
        <x:v>UX + QA</x:v>
      </x:c>
      <x:c r="J21" s="12" t="str">
        <x:v>T01, C01–C07</x:v>
      </x:c>
      <x:c r="K21" s="13" t="str"/>
    </x:row>
    <x:row r="22" ht="35.25" customHeight="1">
      <x:c r="A22" s="11" t="str">
        <x:v>A17</x:v>
      </x:c>
      <x:c r="B22" s="11" t="str">
        <x:v>G07</x:v>
      </x:c>
      <x:c r="C22" s="11" t="str">
        <x:v>Klavye / ekran okuyucu</x:v>
      </x:c>
      <x:c r="D22" s="11" t="str">
        <x:v>Tab, ok, Enter, Escape; aria-expanded/controls/activedescendant, hata odağı ve sonuç duyurusu.</x:v>
      </x:c>
      <x:c r="E22" s="13" t="str">
        <x:v>Bekliyor</x:v>
      </x:c>
      <x:c r="F22" s="13" t="str">
        <x:v>Bekliyor</x:v>
      </x:c>
      <x:c r="G22" s="13" t="str">
        <x:v>Bekliyor</x:v>
      </x:c>
      <x:c r="H22" s="11" t="str">
        <x:f>IF(AND(E22="Onaylandı",F22="Kanıt eklendi",G22="Onaylandı",K22&lt;&gt;""),"Tamam","Açık")</x:f>
        <x:v>Açık</x:v>
      </x:c>
      <x:c r="I22" s="11" t="str">
        <x:v>UX + erişilebilirlik</x:v>
      </x:c>
      <x:c r="J22" s="11" t="str">
        <x:v>T01</x:v>
      </x:c>
      <x:c r="K22" s="13" t="str"/>
    </x:row>
    <x:row r="23" ht="35.25" customHeight="1">
      <x:c r="A23" s="12" t="str">
        <x:v>A18</x:v>
      </x:c>
      <x:c r="B23" s="12" t="str">
        <x:v>G07</x:v>
      </x:c>
      <x:c r="C23" s="12" t="str">
        <x:v>Mobil / dirty scope</x:v>
      </x:c>
      <x:c r="D23" s="12" t="str">
        <x:v>Viewport, ekran klavyesi, account/scope değişimi, async eski yanıt ve dirty cancel seçim kaybı yaratmaz.</x:v>
      </x:c>
      <x:c r="E23" s="13" t="str">
        <x:v>Bekliyor</x:v>
      </x:c>
      <x:c r="F23" s="13" t="str">
        <x:v>Bekliyor</x:v>
      </x:c>
      <x:c r="G23" s="13" t="str">
        <x:v>Bekliyor</x:v>
      </x:c>
      <x:c r="H23" s="12" t="str">
        <x:f>IF(AND(E23="Onaylandı",F23="Kanıt eklendi",G23="Onaylandı",K23&lt;&gt;""),"Tamam","Açık")</x:f>
        <x:v>Açık</x:v>
      </x:c>
      <x:c r="I23" s="12" t="str">
        <x:v>UX + QA</x:v>
      </x:c>
      <x:c r="J23" s="12" t="str">
        <x:v>T01</x:v>
      </x:c>
      <x:c r="K23" s="13" t="str"/>
    </x:row>
    <x:row r="24" ht="35.25" customHeight="1">
      <x:c r="A24" s="11" t="str">
        <x:v>A19</x:v>
      </x:c>
      <x:c r="B24" s="11" t="str">
        <x:v>G03</x:v>
      </x:c>
      <x:c r="C24" s="11" t="str">
        <x:v>Kod doğrulama sınırları</x:v>
      </x:c>
      <x:c r="D24" s="11" t="str">
        <x:v>Unknown/inactive/mode mismatch422; DRAFT blank serbest; RECORDED iki açık seçim. İsim kod yerine geçmez.</x:v>
      </x:c>
      <x:c r="E24" s="13" t="str">
        <x:v>Bekliyor</x:v>
      </x:c>
      <x:c r="F24" s="13" t="str">
        <x:v>Bekliyor</x:v>
      </x:c>
      <x:c r="G24" s="13" t="str">
        <x:v>Bekliyor</x:v>
      </x:c>
      <x:c r="H24" s="11" t="str">
        <x:f>IF(AND(E24="Onaylandı",F24="Kanıt eklendi",G24="Onaylandı",K24&lt;&gt;""),"Tamam","Açık")</x:f>
        <x:v>Açık</x:v>
      </x:c>
      <x:c r="I24" s="11" t="str">
        <x:v>API + QA</x:v>
      </x:c>
      <x:c r="J24" s="11" t="str">
        <x:v>T01</x:v>
      </x:c>
      <x:c r="K24" s="13" t="str"/>
    </x:row>
    <x:row r="25" ht="35.25" customHeight="1">
      <x:c r="A25" s="12" t="str">
        <x:v>A20</x:v>
      </x:c>
      <x:c r="B25" s="12" t="str">
        <x:v>G02</x:v>
      </x:c>
      <x:c r="C25" s="12" t="str">
        <x:v>Null, GT, DWT ve ölçüm</x:v>
      </x:c>
      <x:c r="D25" s="12" t="str">
        <x:v>Eksik GT null; DWT eşik yerine geçmez. Bollard pull blank/zero/birim/sertifika ve tarih sınırları.</x:v>
      </x:c>
      <x:c r="E25" s="13" t="str">
        <x:v>Bekliyor</x:v>
      </x:c>
      <x:c r="F25" s="13" t="str">
        <x:v>Bekliyor</x:v>
      </x:c>
      <x:c r="G25" s="13" t="str">
        <x:v>Bekliyor</x:v>
      </x:c>
      <x:c r="H25" s="12" t="str">
        <x:f>IF(AND(E25="Onaylandı",F25="Kanıt eklendi",G25="Onaylandı",K25&lt;&gt;""),"Tamam","Açık")</x:f>
        <x:v>Açık</x:v>
      </x:c>
      <x:c r="I25" s="12" t="str">
        <x:v>Denizcilik + QA</x:v>
      </x:c>
      <x:c r="J25" s="12" t="str">
        <x:v>S9, S11, S15</x:v>
      </x:c>
      <x:c r="K25" s="13" t="str"/>
    </x:row>
    <x:row r="26" ht="35.25" customHeight="1">
      <x:c r="A26" s="11" t="str">
        <x:v>A21</x:v>
      </x:c>
      <x:c r="B26" s="11" t="str">
        <x:v>G04</x:v>
      </x:c>
      <x:c r="C26" s="11" t="str">
        <x:v>IMO kimliği</x:v>
      </x:c>
      <x:c r="D26" s="11" t="str">
        <x:v>Mevcut7-hane checksum korunur. Gelecek8 hane kapalı; biçim geçerli diye atama doğrulanmaz.</x:v>
      </x:c>
      <x:c r="E26" s="13" t="str">
        <x:v>Bekliyor</x:v>
      </x:c>
      <x:c r="F26" s="13" t="str">
        <x:v>Bekliyor</x:v>
      </x:c>
      <x:c r="G26" s="13" t="str">
        <x:v>Bekliyor</x:v>
      </x:c>
      <x:c r="H26" s="11" t="str">
        <x:f>IF(AND(E26="Onaylandı",F26="Kanıt eklendi",G26="Onaylandı",K26&lt;&gt;""),"Tamam","Açık")</x:f>
        <x:v>Açık</x:v>
      </x:c>
      <x:c r="I26" s="11" t="str">
        <x:v>API + QA</x:v>
      </x:c>
      <x:c r="J26" s="11" t="str">
        <x:v>S12, S13, T01</x:v>
      </x:c>
      <x:c r="K26" s="13" t="str"/>
    </x:row>
    <x:row r="27" ht="35.25" customHeight="1">
      <x:c r="A27" s="12" t="str">
        <x:v>A22</x:v>
      </x:c>
      <x:c r="B27" s="12" t="str">
        <x:v>G08</x:v>
      </x:c>
      <x:c r="C27" s="12" t="str">
        <x:v>Self-hosted / offline paket</x:v>
      </x:c>
      <x:c r="D27" s="12" t="str">
        <x:v>Snapshot/hash/lisans/eskime/rollback. Offline cache üretim veya hukuki geçerlilik kanıtı değildir.</x:v>
      </x:c>
      <x:c r="E27" s="13" t="str">
        <x:v>Bekliyor</x:v>
      </x:c>
      <x:c r="F27" s="13" t="str">
        <x:v>Bekliyor</x:v>
      </x:c>
      <x:c r="G27" s="13" t="str">
        <x:v>Bekliyor</x:v>
      </x:c>
      <x:c r="H27" s="12" t="str">
        <x:f>IF(AND(E27="Onaylandı",F27="Kanıt eklendi",G27="Onaylandı",K27&lt;&gt;""),"Tamam","Açık")</x:f>
        <x:v>Açık</x:v>
      </x:c>
      <x:c r="I27" s="12" t="str">
        <x:v>Release + hukuk</x:v>
      </x:c>
      <x:c r="J27" s="12" t="str">
        <x:v>T01</x:v>
      </x:c>
      <x:c r="K27" s="13" t="str"/>
    </x:row>
    <x:row r="28" ht="35.25" customHeight="1">
      <x:c r="A28" s="11" t="str">
        <x:v>A23</x:v>
      </x:c>
      <x:c r="B28" s="11" t="str">
        <x:v>G08</x:v>
      </x:c>
      <x:c r="C28" s="11" t="str">
        <x:v>UAT ve release yetkisi</x:v>
      </x:c>
      <x:c r="D28" s="11" t="str">
        <x:v>Katalog, API/DB, UX, güvenlik, veri geçişi ve UAT kanıtları tamamlanmadan üretim onayı yok.</x:v>
      </x:c>
      <x:c r="E28" s="13" t="str">
        <x:v>Bekliyor</x:v>
      </x:c>
      <x:c r="F28" s="13" t="str">
        <x:v>Bekliyor</x:v>
      </x:c>
      <x:c r="G28" s="13" t="str">
        <x:v>Bekliyor</x:v>
      </x:c>
      <x:c r="H28" s="11" t="str">
        <x:f>IF(AND(E28="Onaylandı",F28="Kanıt eklendi",G28="Onaylandı",K28&lt;&gt;""),"Tamam","Açık")</x:f>
        <x:v>Açık</x:v>
      </x:c>
      <x:c r="I28" s="11" t="str">
        <x:v>Ürün + release</x:v>
      </x:c>
      <x:c r="J28" s="11" t="str">
        <x:v>T01</x:v>
      </x:c>
      <x:c r="K28" s="13" t="str"/>
    </x:row>
    <x:row r="29" ht="35.25" customHeight="1">
      <x:c r="A29" s="12" t="str">
        <x:v>A24</x:v>
      </x:c>
      <x:c r="B29" s="12" t="str">
        <x:v>G05</x:v>
      </x:c>
      <x:c r="C29" s="12" t="str">
        <x:v>Kanonik kaynak korunumu</x:v>
      </x:c>
      <x:c r="D29" s="12" t="str">
        <x:v>14.02 v3 byte-identical;518 lookup kaynak açığı/191 unresolved/0 production closed. ship_type bu518 içinde değil;191 tüm standardizasyon backlogu değil.</x:v>
      </x:c>
      <x:c r="E29" s="13" t="str">
        <x:v>Bekliyor</x:v>
      </x:c>
      <x:c r="F29" s="13" t="str">
        <x:v>Bekliyor</x:v>
      </x:c>
      <x:c r="G29" s="13" t="str">
        <x:v>Bekliyor</x:v>
      </x:c>
      <x:c r="H29" s="12" t="str">
        <x:f>IF(AND(E29="Onaylandı",F29="Kanıt eklendi",G29="Onaylandı",K29&lt;&gt;""),"Tamam","Açık")</x:f>
        <x:v>Açık</x:v>
      </x:c>
      <x:c r="I29" s="12" t="str">
        <x:v>Doküman kontrol</x:v>
      </x:c>
      <x:c r="J29" s="12" t="str">
        <x:v>E01</x:v>
      </x:c>
      <x:c r="K29" s="13" t="str"/>
    </x:row>
    <x:row r="30" ht="48" customHeight="1">
      <x:c r="A30" s="11" t="str">
        <x:v>A25</x:v>
      </x:c>
      <x:c r="B30" s="11" t="str">
        <x:v>G02</x:v>
      </x:c>
      <x:c r="C30" s="11" t="str">
        <x:v>R-P2-01 durum ayrımı</x:v>
      </x:c>
      <x:c r="D30" s="11" t="str">
        <x:v>Otorite ham/kod sicil durumu+jurisdiction/scheme/version/dönem korunur. Mantıksal SUSPENDED+VERIFIED birlikte saklanır; doğrulama hukuki geçerlilik vermez. Mapped legal status ayrı onaylı.</x:v>
      </x:c>
      <x:c r="E30" s="13" t="str">
        <x:v>Bekliyor</x:v>
      </x:c>
      <x:c r="F30" s="13" t="str">
        <x:v>Bekliyor</x:v>
      </x:c>
      <x:c r="G30" s="13" t="str">
        <x:v>Bekliyor</x:v>
      </x:c>
      <x:c r="H30" s="11" t="str">
        <x:f>IF(AND(E30="Onaylandı",F30="Kanıt eklendi",G30="Onaylandı",K30&lt;&gt;""),"Tamam","Açık")</x:f>
        <x:v>Açık</x:v>
      </x:c>
      <x:c r="I30" s="11" t="str">
        <x:v>Hukuk + veri + QA</x:v>
      </x:c>
      <x:c r="J30" s="11" t="str">
        <x:v>S1, S8, E01</x:v>
      </x:c>
      <x:c r="K30" s="13" t="str"/>
    </x:row>
  </x:sheetData>
  <x:conditionalFormatting sqref="H6:H30">
    <x:cfRule type="containsText" dxfId="0" priority="1" operator="containsText" text="Açık"/>
  </x:conditionalFormatting>
  <x:dataValidations count="3">
    <x:dataValidation type="list" sqref="E6:E30">
      <x:formula1>"Bekliyor,Onaylandı,Reddedildi"</x:formula1>
    </x:dataValidation>
    <x:dataValidation type="list" sqref="G6:G30">
      <x:formula1>"Bekliyor,Onaylandı,Reddedildi"</x:formula1>
    </x:dataValidation>
    <x:dataValidation type="list" sqref="F6:F30">
      <x:formula1>"Bekliyor,Kanıt eklendi"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1556b967cf4d8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5" hidden="0" customWidth="1"/>
    <x:col min="2" max="2" width="26" hidden="0" customWidth="1"/>
    <x:col min="3" max="3" width="19" hidden="0" customWidth="1"/>
    <x:col min="4" max="4" width="11.5" hidden="0" customWidth="1"/>
    <x:col min="5" max="5" width="42" hidden="0" customWidth="1"/>
    <x:col min="6" max="6" width="62" hidden="0" customWidth="1"/>
    <x:col min="7" max="7" width="4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Kaynak sicili</x:v>
      </x:c>
      <x:c r="B2" s="2"/>
      <x:c r="C2" s="2"/>
      <x:c r="D2" s="2"/>
      <x:c r="E2" s="2"/>
      <x:c r="F2" s="2"/>
      <x:c r="G2" s="2"/>
    </x:row>
    <x:row r="3" ht="23" customHeight="1">
      <x:c r="A3" s="4"/>
      <x:c r="B3" s="4"/>
      <x:c r="C3" s="4"/>
      <x:c r="D3" s="4"/>
      <x:c r="E3" s="4"/>
      <x:c r="F3" s="4"/>
      <x:c r="G3" s="4"/>
    </x:row>
    <x:row r="4" ht="23" customHeight="1">
      <x:c r="A4" s="5" t="str">
        <x:v>Web içerikleri 29.10.2026 araştırma kayıtlarından alınmıştır. Bu çalışma dış sistemlere yazmaz.</x:v>
      </x:c>
      <x:c r="B4" s="2"/>
      <x:c r="C4" s="2"/>
      <x:c r="D4" s="2"/>
      <x:c r="E4" s="2"/>
      <x:c r="F4" s="2"/>
      <x:c r="G4" s="2"/>
    </x:row>
    <x:row r="5" ht="32" customHeight="1">
      <x:c r="A5" s="9" t="str">
        <x:v>Kaynak ID</x:v>
      </x:c>
      <x:c r="B5" s="9" t="str">
        <x:v>Kaynak / başlık</x:v>
      </x:c>
      <x:c r="C5" s="9" t="str">
        <x:v>Kanıt türü</x:v>
      </x:c>
      <x:c r="D5" s="9" t="str">
        <x:v>Erişim tarihi</x:v>
      </x:c>
      <x:c r="E5" s="9" t="str">
        <x:v>Kullanılan bulgu</x:v>
      </x:c>
      <x:c r="F5" s="9" t="str">
        <x:v>URL / yerel ek kimliği</x:v>
      </x:c>
      <x:c r="G5" s="9" t="str">
        <x:v>Sınır / provenance</x:v>
      </x:c>
    </x:row>
    <x:row r="6" ht="35.25" customHeight="1">
      <x:c r="A6" s="11" t="str">
        <x:v>S1</x:v>
      </x:c>
      <x:c r="B6" s="11" t="str">
        <x:v>IMO Registration of ships</x:v>
      </x:c>
      <x:c r="C6" s="11" t="str">
        <x:v>Hukuki açıklama</x:v>
      </x:c>
      <x:c r="D6" s="14" t="n">
        <x:v>46324</x:v>
      </x:c>
      <x:c r="E6" s="11" t="str">
        <x:v>UNCLOS91/94; ulusal kayıt ve bayrak hakkı. 1986 sözleşmesi yürürlükte değil.</x:v>
      </x:c>
      <x:c r="F6" s="11" t="str">
        <x:v>https://www.imo.org/en/ourwork/legal/pages/registration-of-ships.aspx</x:v>
      </x:c>
      <x:c r="G6" s="11" t="str">
        <x:v>Yetkili idare listesi veya gemiye özgü izin değildir.</x:v>
      </x:c>
    </x:row>
    <x:row r="7" ht="35.25" customHeight="1">
      <x:c r="A7" s="12" t="str">
        <x:v>S2</x:v>
      </x:c>
      <x:c r="B7" s="12" t="str">
        <x:v>ISO 3166 Country Codes</x:v>
      </x:c>
      <x:c r="C7" s="12" t="str">
        <x:v>Teknik standart bilgisi</x:v>
      </x:c>
      <x:c r="D7" s="15" t="n">
        <x:v>46324</x:v>
      </x:c>
      <x:c r="E7" s="12" t="str">
        <x:v>Ülke/bölge kodları ve güncelleme modeli.</x:v>
      </x:c>
      <x:c r="F7" s="12" t="str">
        <x:v>https://www.iso.org/iso-3166-country-codes.html</x:v>
      </x:c>
      <x:c r="G7" s="12" t="str">
        <x:v>Bayrak idaresi/yetki kataloğu değil. Yeniden dağıtım lisansı ayrı.</x:v>
      </x:c>
    </x:row>
    <x:row r="8" ht="32.25" customHeight="1">
      <x:c r="A8" s="11" t="str">
        <x:v>S3</x:v>
      </x:c>
      <x:c r="B8" s="11" t="str">
        <x:v>ITU-R M.1371-6 (02/2026)</x:v>
      </x:c>
      <x:c r="C8" s="11" t="str">
        <x:v>Teknik standart</x:v>
      </x:c>
      <x:c r="D8" s="14" t="n">
        <x:v>46324</x:v>
      </x:c>
      <x:c r="E8" s="11" t="str">
        <x:v>AIS31/32/52 anlamları; sürüm koruma.</x:v>
      </x:c>
      <x:c r="F8" s="11" t="str">
        <x:v>https://www.itu.int/dms_pubrec/itu-r/rec/m/R-REC-M.1371-6-202602-I%21%21PDF-E.pdf</x:v>
      </x:c>
      <x:c r="G8" s="11" t="str">
        <x:v>Tam kod listesi kopyalanmadı. AIS hukuki sınıf değil.</x:v>
      </x:c>
    </x:row>
    <x:row r="9" ht="32.25" customHeight="1">
      <x:c r="A9" s="12" t="str">
        <x:v>S4</x:v>
      </x:c>
      <x:c r="B9" s="12" t="str">
        <x:v>ITU M.1371 register</x:v>
      </x:c>
      <x:c r="C9" s="12" t="str">
        <x:v>Standart sürüm kaydı</x:v>
      </x:c>
      <x:c r="D9" s="15" t="n">
        <x:v>46324</x:v>
      </x:c>
      <x:c r="E9" s="12" t="str">
        <x:v>M.1371-6 yürürlükte; -5 superseded.</x:v>
      </x:c>
      <x:c r="F9" s="12" t="str">
        <x:v>https://www.itu.int/rec/r-rec-m.1371/_page.print</x:v>
      </x:c>
      <x:c r="G9" s="12" t="str">
        <x:v>Eski cihaz gözlemi kendi sürümüyle korunur.</x:v>
      </x:c>
    </x:row>
    <x:row r="10" ht="32.25" customHeight="1">
      <x:c r="A10" s="11" t="str">
        <x:v>S5</x:v>
      </x:c>
      <x:c r="B10" s="11" t="str">
        <x:v>UNECE Code List Recommendations</x:v>
      </x:c>
      <x:c r="C10" s="11" t="str">
        <x:v>Teknik kod sistemi</x:v>
      </x:c>
      <x:c r="D10" s="14" t="n">
        <x:v>46324</x:v>
      </x:c>
      <x:c r="E10" s="11" t="str">
        <x:v>Rec.28 Rev.3(2010), Rev.4.2(2018) kod listesi indeks kaydı.</x:v>
      </x:c>
      <x:c r="F10" s="11" t="str">
        <x:v>https://unece.org/code-list-recommendations</x:v>
      </x:c>
      <x:c r="G10" s="11" t="str">
        <x:v>Hedef entegrasyon kabul ettiği sürümü ayrıca doğrular.</x:v>
      </x:c>
    </x:row>
    <x:row r="11" ht="32.25" customHeight="1">
      <x:c r="A11" s="12" t="str">
        <x:v>S6</x:v>
      </x:c>
      <x:c r="B11" s="12" t="str">
        <x:v>EMSA EMSWe SIG</x:v>
      </x:c>
      <x:c r="C11" s="12" t="str">
        <x:v>Entegrasyon standardı</x:v>
      </x:c>
      <x:c r="D11" s="15" t="n">
        <x:v>46324</x:v>
      </x:c>
      <x:c r="E11" s="12" t="str">
        <x:v>Farklı detay düzeylerinde gemi tipi referansları.</x:v>
      </x:c>
      <x:c r="F11" s="12" t="str">
        <x:v>https://emswe-db-sig.emsa.europa.eu/</x:v>
      </x:c>
      <x:c r="G11" s="12" t="str">
        <x:v>AIS ile sayı benzerliğine göre eşleme yok.</x:v>
      </x:c>
    </x:row>
    <x:row r="12" ht="32.25" customHeight="1">
      <x:c r="A12" s="11" t="str">
        <x:v>S7</x:v>
      </x:c>
      <x:c r="B12" s="11" t="str">
        <x:v>IMO Compendium</x:v>
      </x:c>
      <x:c r="C12" s="11" t="str">
        <x:v>Entegrasyon modeli</x:v>
      </x:c>
      <x:c r="D12" s="14" t="n">
        <x:v>46324</x:v>
      </x:c>
      <x:c r="E12" s="11" t="str">
        <x:v>Mart2026 FAL50 güncel model açıklaması.</x:v>
      </x:c>
      <x:c r="F12" s="11" t="str">
        <x:v>https://www.imo.org/en/ourwork/facilitation/pages/imocompendium.aspx</x:v>
      </x:c>
      <x:c r="G12" s="11" t="str">
        <x:v>Hedef raporlama profili ve sürümü ayrı.</x:v>
      </x:c>
    </x:row>
    <x:row r="13" ht="35.25" customHeight="1">
      <x:c r="A13" s="12" t="str">
        <x:v>S8</x:v>
      </x:c>
      <x:c r="B13" s="12" t="str">
        <x:v>UAB mevzuat / Gemi Sicil Yönetmeliği</x:v>
      </x:c>
      <x:c r="C13" s="12" t="str">
        <x:v>Ulusal mevzuat</x:v>
      </x:c>
      <x:c r="D13" s="15" t="n">
        <x:v>46324</x:v>
      </x:c>
      <x:c r="E13" s="12" t="str">
        <x:v>12.05.2023/32188 indeks kaydı.</x:v>
      </x:c>
      <x:c r="F13" s="12" t="str">
        <x:v>https://denizcilik.uab.gov.tr/mevzuat/denizcilik-mevzuati/yonetmelik/ ; https://www.resmigazete.gov.tr/eskiler/2023/05/20230512-18.pdf</x:v>
      </x:c>
      <x:c r="G13" s="12" t="str">
        <x:v>PDF yalnız başlık düzeyinde çözüldü. Güncel konsolidasyon/madde teyidi açık.</x:v>
      </x:c>
    </x:row>
    <x:row r="14" ht="35.25" customHeight="1">
      <x:c r="A14" s="11" t="str">
        <x:v>S9</x:v>
      </x:c>
      <x:c r="B14" s="11" t="str">
        <x:v>UAB Gemi Cinsleri Tanımlamaları</x:v>
      </x:c>
      <x:c r="C14" s="11" t="str">
        <x:v>Ulusal sicil kaynağı</x:v>
      </x:c>
      <x:c r="D14" s="14" t="n">
        <x:v>46324</x:v>
      </x:c>
      <x:c r="E14" s="11" t="str">
        <x:v>Araştırmacı PDF metni:08-2026 dosyası,4304/4305 s.24;4202 s.23.</x:v>
      </x:c>
      <x:c r="F14" s="11" t="str">
        <x:v>https://denizcilik.uab.gov.tr/media/denizcilik/dsfhl5xt/gemi-sicili-icin-gemi-cinsleri-tanimlamalari-08-2026.pdf</x:v>
      </x:c>
      <x:c r="G14" s="11" t="str">
        <x:v>Reviewer parser başarısız; bağımsız yeniden teyit yok. İdari onay tarihi/konsolidasyon/uzman/lisans kapıları açık.</x:v>
      </x:c>
    </x:row>
    <x:row r="15" ht="35.25" customHeight="1">
      <x:c r="A15" s="12" t="str">
        <x:v>S10</x:v>
      </x:c>
      <x:c r="B15" s="12" t="str">
        <x:v>IMO SOLAS overview</x:v>
      </x:c>
      <x:c r="C15" s="12" t="str">
        <x:v>Hukuki kapsam özeti</x:v>
      </x:c>
      <x:c r="D15" s="15" t="n">
        <x:v>46324</x:v>
      </x:c>
      <x:c r="E15" s="12" t="str">
        <x:v>Genel sözleşme ile BölümV kapsamı ayrımı.</x:v>
      </x:c>
      <x:c r="F15" s="12" t="str">
        <x:v>https://www.imo.org/en/about/conventions/pages/international-convention-for-the-safety-of-life-at-sea-%28solas%29%2C-1974.aspx</x:v>
      </x:c>
      <x:c r="G15" s="12" t="str">
        <x:v>Bölüm ve madde bazında uzman teyidi gerekir.</x:v>
      </x:c>
    </x:row>
    <x:row r="16" ht="32.25" customHeight="1">
      <x:c r="A16" s="11" t="str">
        <x:v>S11</x:v>
      </x:c>
      <x:c r="B16" s="11" t="str">
        <x:v>IMO AIS transponders</x:v>
      </x:c>
      <x:c r="C16" s="11" t="str">
        <x:v>Hukuki kapsam özeti</x:v>
      </x:c>
      <x:c r="D16" s="14" t="n">
        <x:v>46324</x:v>
      </x:c>
      <x:c r="E16" s="11" t="str">
        <x:v>V/19 taşıma eşikleri: sefer,GT,gemi sınıfı.</x:v>
      </x:c>
      <x:c r="F16" s="11" t="str">
        <x:v>https://www.imo.org/en/ourwork/safety/pages/ais.aspx</x:v>
      </x:c>
      <x:c r="G16" s="11" t="str">
        <x:v>İstisna ve ulusal uygulama ayrı incelenir.</x:v>
      </x:c>
    </x:row>
    <x:row r="17" ht="32.25" customHeight="1">
      <x:c r="A17" s="12" t="str">
        <x:v>S12</x:v>
      </x:c>
      <x:c r="B17" s="12" t="str">
        <x:v>IMO Identification Number Scheme</x:v>
      </x:c>
      <x:c r="C17" s="12" t="str">
        <x:v>Kimlik standardı</x:v>
      </x:c>
      <x:c r="D17" s="15" t="n">
        <x:v>46324</x:v>
      </x:c>
      <x:c r="E17" s="12" t="str">
        <x:v>Mevcut7 hane; gelecekte8 koşullu; A.1215(34).</x:v>
      </x:c>
      <x:c r="F17" s="12" t="str">
        <x:v>https://www.imo.org/en/ourwork/iiis/pages/imo-identification-number-schemes.aspx</x:v>
      </x:c>
      <x:c r="G17" s="12" t="str">
        <x:v>8 hane etkin geçiş tarihi doğrulanmadı.</x:v>
      </x:c>
    </x:row>
    <x:row r="18" ht="35.25" customHeight="1">
      <x:c r="A18" s="11" t="str">
        <x:v>S13</x:v>
      </x:c>
      <x:c r="B18" s="11" t="str">
        <x:v>IMO-hosted Ship Numbering FAQ</x:v>
      </x:c>
      <x:c r="C18" s="11" t="str">
        <x:v>Kimlik bağlamı</x:v>
      </x:c>
      <x:c r="D18" s="14" t="n">
        <x:v>46324</x:v>
      </x:c>
      <x:c r="E18" s="11" t="str">
        <x:v>2022/2023 araştırma ve alternatif öneriler.</x:v>
      </x:c>
      <x:c r="F18" s="11" t="str">
        <x:v>https://wwwcdn.imo.org/localresources/en/OurWork/IIIS/Documents/IMO%20Ship%20Number%20%26%20Extension%20FAQs.pdf</x:v>
      </x:c>
      <x:c r="G18" s="11" t="str">
        <x:v>Güncel8 hane dağıtım kanıtı değil.</x:v>
      </x:c>
    </x:row>
    <x:row r="19" ht="35.25" customHeight="1">
      <x:c r="A19" s="12" t="str">
        <x:v>S14</x:v>
      </x:c>
      <x:c r="B19" s="12" t="str">
        <x:v>Transport Canada ISM Code</x:v>
      </x:c>
      <x:c r="C19" s="12" t="str">
        <x:v>Ulusal otorite özeti</x:v>
      </x:c>
      <x:c r="D19" s="15" t="n">
        <x:v>46324</x:v>
      </x:c>
      <x:c r="E19" s="12" t="str">
        <x:v>SOLASIX uluslararası kapsam özeti.</x:v>
      </x:c>
      <x:c r="F19" s="12" t="str">
        <x:v>https://tc.canada.ca/en/marine-transportation/marine-safety/international-safety-management-ism-code</x:v>
      </x:c>
      <x:c r="G19" s="12" t="str">
        <x:v>Kanada kaynağı TR ulusal hukuk kararı değildir.</x:v>
      </x:c>
    </x:row>
    <x:row r="20" ht="32.25" customHeight="1">
      <x:c r="A20" s="11" t="str">
        <x:v>S15</x:v>
      </x:c>
      <x:c r="B20" s="11" t="str">
        <x:v>IMO EEXI/CII FAQ</x:v>
      </x:c>
      <x:c r="C20" s="11" t="str">
        <x:v>Hukuki kapsam özeti</x:v>
      </x:c>
      <x:c r="D20" s="14" t="n">
        <x:v>46324</x:v>
      </x:c>
      <x:c r="E20" s="11" t="str">
        <x:v>AnnexVI,400GT/5000GT bağlamı; tip ve sefer koşulları.</x:v>
      </x:c>
      <x:c r="F20" s="11" t="str">
        <x:v>https://www.imo.org/en/mediacentre/hottopics/pages/eexi-cii-faq.aspx</x:v>
      </x:c>
      <x:c r="G20" s="11" t="str">
        <x:v>Tek eşik bütün yükümlülüğü belirlemez.</x:v>
      </x:c>
    </x:row>
    <x:row r="21" ht="32.25" customHeight="1">
      <x:c r="A21" s="12" t="str">
        <x:v>C01</x:v>
      </x:c>
      <x:c r="B21" s="12" t="str">
        <x:v>BASSnet HR Vessel Particulars</x:v>
      </x:c>
      <x:c r="C21" s="12" t="str">
        <x:v>A: resmi yardım</x:v>
      </x:c>
      <x:c r="D21" s="15" t="n">
        <x:v>46324</x:v>
      </x:c>
      <x:c r="E21" s="12" t="str">
        <x:v>Vessel Type ve Flag lookup; Registry Port ayrı.</x:v>
      </x:c>
      <x:c r="F21" s="12" t="str">
        <x:v>https://cloud.bassnet.no/HRConnect/WebHelp/HR_Manager/Site/Particulars/Vessel_Particulars.htm</x:v>
      </x:c>
      <x:c r="G21" s="12" t="str">
        <x:v>Çalışan ürün testi değil. Arama/filtre aynı katalog Y.</x:v>
      </x:c>
    </x:row>
    <x:row r="22" ht="32.25" customHeight="1">
      <x:c r="A22" s="11" t="str">
        <x:v>C02</x:v>
      </x:c>
      <x:c r="B22" s="11" t="str">
        <x:v>BASSnet CRM Vessel Type Register</x:v>
      </x:c>
      <x:c r="C22" s="11" t="str">
        <x:v>A: resmi yardım</x:v>
      </x:c>
      <x:c r="D22" s="14" t="n">
        <x:v>46324</x:v>
      </x:c>
      <x:c r="E22" s="11" t="str">
        <x:v>Kod/açıklama/grup/Active ve erişim hakkı.</x:v>
      </x:c>
      <x:c r="F22" s="11" t="str">
        <x:v>https://cloud.bassnet.no/CRM/WebHelp/Administration/Register_Setup/Vessel_Type.htm</x:v>
      </x:c>
      <x:c r="G22" s="11" t="str">
        <x:v>Kod uzunluğu metni çelişkili; HR ile tek şema varsayılmadı.</x:v>
      </x:c>
    </x:row>
    <x:row r="23" ht="32.25" customHeight="1">
      <x:c r="A23" s="12" t="str">
        <x:v>C03</x:v>
      </x:c>
      <x:c r="B23" s="12" t="str">
        <x:v>MariApps smartPAL MDM</x:v>
      </x:c>
      <x:c r="C23" s="12" t="str">
        <x:v>B: satıcı beyanı</x:v>
      </x:c>
      <x:c r="D23" s="15" t="n">
        <x:v>46324</x:v>
      </x:c>
      <x:c r="E23" s="12" t="str">
        <x:v>Merkezi master data, vessel register, import/export.</x:v>
      </x:c>
      <x:c r="F23" s="12" t="str">
        <x:v>https://www.mariapps.com/mdm/</x:v>
      </x:c>
      <x:c r="G23" s="12" t="str">
        <x:v>Bayrak/tip widget davranışı doğrulanmadı.</x:v>
      </x:c>
    </x:row>
    <x:row r="24" ht="32.25" customHeight="1">
      <x:c r="A24" s="11" t="str">
        <x:v>C04</x:v>
      </x:c>
      <x:c r="B24" s="11" t="str">
        <x:v>MariApps Data Library</x:v>
      </x:c>
      <x:c r="C24" s="11" t="str">
        <x:v>B: satıcı beyanı</x:v>
      </x:c>
      <x:c r="D24" s="14" t="n">
        <x:v>46324</x:v>
      </x:c>
      <x:c r="E24" s="11" t="str">
        <x:v>Teknik ekipman/iş/yedek parça veri merkezileştirme.</x:v>
      </x:c>
      <x:c r="F24" s="11" t="str">
        <x:v>https://www.mariapps.com/smartpal/data-library/</x:v>
      </x:c>
      <x:c r="G24" s="11" t="str">
        <x:v>Bayrak/tip yeteneğine genellenmedi.</x:v>
      </x:c>
    </x:row>
    <x:row r="25" ht="35.25" customHeight="1">
      <x:c r="A25" s="12" t="str">
        <x:v>C05</x:v>
      </x:c>
      <x:c r="B25" s="12" t="str">
        <x:v>DNV ShipManager</x:v>
      </x:c>
      <x:c r="C25" s="12" t="str">
        <x:v>B: satıcı beyanı</x:v>
      </x:c>
      <x:c r="D25" s="15" t="n">
        <x:v>46324</x:v>
      </x:c>
      <x:c r="E25" s="12" t="str">
        <x:v>Entegre modüller, migrasyon ve ekipman sicili hizmeti.</x:v>
      </x:c>
      <x:c r="F25" s="12" t="str">
        <x:v>https://www.dnv.com/services/marine-fleet-management-software-and-ship-management-systems-shipmanager-114260/</x:v>
      </x:c>
      <x:c r="G25" s="12" t="str">
        <x:v>Alan düzeyinde lookup/tarihçe doğrulanmadı.</x:v>
      </x:c>
    </x:row>
    <x:row r="26" ht="32.25" customHeight="1">
      <x:c r="A26" s="11" t="str">
        <x:v>C06</x:v>
      </x:c>
      <x:c r="B26" s="11" t="str">
        <x:v>SpecTec AMOS-X</x:v>
      </x:c>
      <x:c r="C26" s="11" t="str">
        <x:v>B: satıcı beyanı</x:v>
      </x:c>
      <x:c r="D26" s="14" t="n">
        <x:v>46324</x:v>
      </x:c>
      <x:c r="E26" s="11" t="str">
        <x:v>Merkezi teknik filo yapılandırması ve mobil iş akışları.</x:v>
      </x:c>
      <x:c r="F26" s="11" t="str">
        <x:v>https://spectec.net/amos-x/</x:v>
      </x:c>
      <x:c r="G26" s="11" t="str">
        <x:v>Klavye/combobox ve bayrak/tip özellik kanıtı değil.</x:v>
      </x:c>
    </x:row>
    <x:row r="27" ht="32.25" customHeight="1">
      <x:c r="A27" s="12" t="str">
        <x:v>C07</x:v>
      </x:c>
      <x:c r="B27" s="12" t="str">
        <x:v>SpecTec Data Migration Services</x:v>
      </x:c>
      <x:c r="C27" s="12" t="str">
        <x:v>B: satıcı beyanı</x:v>
      </x:c>
      <x:c r="D27" s="15" t="n">
        <x:v>46324</x:v>
      </x:c>
      <x:c r="E27" s="12" t="str">
        <x:v>Üçüncü taraf/Excel migrasyonu, ofis-gemi senkronizasyonu.</x:v>
      </x:c>
      <x:c r="F27" s="12" t="str">
        <x:v>https://spectec.net/service/database-migration-services/</x:v>
      </x:c>
      <x:c r="G27" s="12" t="str">
        <x:v>Otomatik bayrak/tip temizleme algoritması doğrulanmadı.</x:v>
      </x:c>
    </x:row>
    <x:row r="28" ht="35.25" customHeight="1">
      <x:c r="A28" s="11" t="str">
        <x:v>T01</x:v>
      </x:c>
      <x:c r="B28" s="11" t="str">
        <x:v>Teknik öneri paketi / dd504631</x:v>
      </x:c>
      <x:c r="C28" s="11" t="str">
        <x:v>Yerel kaynak kanıtı</x:v>
      </x:c>
      <x:c r="D28" s="14" t="n">
        <x:v>46324</x:v>
      </x:c>
      <x:c r="E28" s="11" t="str">
        <x:v>ADR, format1 schema,2 SYN fixture,results.json. Kaynak üretici12 PASS.151 baseline dosya değişmez.</x:v>
      </x:c>
      <x:c r="F28" s="11" t="str">
        <x:v>Paket eki: Poseidon-flag-vessel-type-analysis-2026-10-29.zip</x:v>
      </x:c>
      <x:c r="G28" s="11" t="str">
        <x:v>API/DB/UX/migration uygulanmadı; testler burada yeniden çalıştırılmadı.</x:v>
      </x:c>
    </x:row>
    <x:row r="29" ht="35.25" customHeight="1">
      <x:c r="A29" s="12" t="str">
        <x:v>E01</x:v>
      </x:c>
      <x:c r="B29" s="12" t="str">
        <x:v>Kanonik14.02 v3 / kaynak audit</x:v>
      </x:c>
      <x:c r="C29" s="12" t="str">
        <x:v>Yerel kanonik audit</x:v>
      </x:c>
      <x:c r="D29" s="15" t="n">
        <x:v>46324</x:v>
      </x:c>
      <x:c r="E29" s="12" t="str">
        <x:v>518 kaynak açığı satırı,191 unresolved,0 production closed. flag259/index257;ship_type263/index261.</x:v>
      </x:c>
      <x:c r="F29" s="12" t="str">
        <x:v>14.02_POSEIDON_v46.3_Product_Wide_Data_Dictionary_TR.xlsx (v3)</x:v>
      </x:c>
      <x:c r="G29" s="12" t="str">
        <x:v>SHA256:3b30f8e779890b3d4291fa41d4d55502dbd2c876894bc5e7f6dee7fe2f3e4018. Kaynak değiştirilmedi.</x:v>
      </x:c>
    </x:row>
  </x:sheetData>
  <x:pageMargins left="0.7" right="0.7" top="0.75" bottom="0.75" header="0.3" footer="0.3"/>
  <x:tableParts count="1">
    <x:tablePart xmlns:r="http://schemas.openxmlformats.org/officeDocument/2006/relationships" r:id="R254e9458aeda405b"/>
  </x:tableParts>
</x:worksheet>
</file>