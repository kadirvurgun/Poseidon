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8e7f61c9e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24f87a33ac07457d"/>
    <x:sheet xmlns:r="http://schemas.openxmlformats.org/officeDocument/2006/relationships" name="Kaynak Alanlar" sheetId="2" r:id="Rfd39e4d5163c4c24"/>
    <x:sheet xmlns:r="http://schemas.openxmlformats.org/officeDocument/2006/relationships" name="Form Alanları" sheetId="3" r:id="Rb55b2206bddc4475"/>
    <x:sheet xmlns:r="http://schemas.openxmlformats.org/officeDocument/2006/relationships" name="JSA Satırları" sheetId="4" r:id="R02909217cd7c4111"/>
    <x:sheet xmlns:r="http://schemas.openxmlformats.org/officeDocument/2006/relationships" name="İzin Aileleri" sheetId="5" r:id="Rc7b5e9a0afb447d3"/>
    <x:sheet xmlns:r="http://schemas.openxmlformats.org/officeDocument/2006/relationships" name="Akış ve Yetki" sheetId="6" r:id="R56a5bc042fae4e65"/>
    <x:sheet xmlns:r="http://schemas.openxmlformats.org/officeDocument/2006/relationships" name="Ekran Akışı" sheetId="7" r:id="Re37cb00e71954f6c"/>
    <x:sheet xmlns:r="http://schemas.openxmlformats.org/officeDocument/2006/relationships" name="Kabul Planı" sheetId="8" r:id="R1a4e849125d64aa7"/>
    <x:sheet xmlns:r="http://schemas.openxmlformats.org/officeDocument/2006/relationships" name="Kaynaklar" sheetId="9" r:id="R2ffa7b345631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0"/>
      <x:color rgb="FF182B49"/>
      <x:name val="Arial"/>
    </x:font>
    <x:font>
      <x:b/>
      <x:sz val="15"/>
      <x:color rgb="FF182B49"/>
      <x:name val="Arial"/>
    </x:font>
    <x:font>
      <x:i/>
      <x:sz val="10"/>
      <x:color rgb="FF5A667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65"/>
      </x:patternFill>
    </x:fill>
    <x:fill>
      <x:patternFill patternType="solid">
        <x:fgColor rgb="FFFFF1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3F65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8E2525"/>
      </x:font>
      <x:fill>
        <x:patternFill patternType="solid">
          <x:bgColor rgb="FFFB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d6525d6604713" /><Relationship Type="http://schemas.openxmlformats.org/officeDocument/2006/relationships/theme" Target="/xl/theme/theme1.xml" Id="Ra953f0d7e8a24fef" /><Relationship Type="http://schemas.openxmlformats.org/officeDocument/2006/relationships/sharedStrings" Target="/xl/sharedStrings.xml" Id="Rc897a0843e74421a" /><Relationship Type="http://schemas.openxmlformats.org/officeDocument/2006/relationships/worksheet" Target="/xl/worksheets/sheet1.xml" Id="R24f87a33ac07457d" /><Relationship Type="http://schemas.openxmlformats.org/officeDocument/2006/relationships/worksheet" Target="/xl/worksheets/sheet2.xml" Id="Rfd39e4d5163c4c24" /><Relationship Type="http://schemas.openxmlformats.org/officeDocument/2006/relationships/worksheet" Target="/xl/worksheets/sheet3.xml" Id="Rb55b2206bddc4475" /><Relationship Type="http://schemas.openxmlformats.org/officeDocument/2006/relationships/worksheet" Target="/xl/worksheets/sheet4.xml" Id="R02909217cd7c4111" /><Relationship Type="http://schemas.openxmlformats.org/officeDocument/2006/relationships/worksheet" Target="/xl/worksheets/sheet5.xml" Id="Rc7b5e9a0afb447d3" /><Relationship Type="http://schemas.openxmlformats.org/officeDocument/2006/relationships/worksheet" Target="/xl/worksheets/sheet6.xml" Id="R56a5bc042fae4e65" /><Relationship Type="http://schemas.openxmlformats.org/officeDocument/2006/relationships/worksheet" Target="/xl/worksheets/sheet7.xml" Id="Re37cb00e71954f6c" /><Relationship Type="http://schemas.openxmlformats.org/officeDocument/2006/relationships/worksheet" Target="/xl/worksheets/sheet8.xml" Id="R1a4e849125d64aa7" /><Relationship Type="http://schemas.openxmlformats.org/officeDocument/2006/relationships/worksheet" Target="/xl/worksheets/sheet9.xml" Id="R2ffa7b3456314b9c" /></Relationships>
</file>

<file path=xl/tables/table1.xml><?xml version="1.0" encoding="utf-8"?>
<x:table xmlns:x="http://schemas.openxmlformats.org/spreadsheetml/2006/main" id="9" name="HSE50_Gates" displayName="HSE50_Gates" ref="A20:G28" headerRowCount="1" totalsRowCount="0" totalsRowShown="0">
  <x:tableColumns count="7">
    <x:tableColumn id="1" name="Kapı"/>
    <x:tableColumn id="2" name="Karar konusu"/>
    <x:tableColumn id="3" name="Kapanış ölçütü"/>
    <x:tableColumn id="4" name="Karar"/>
    <x:tableColumn id="5" name="Önerilen sahip"/>
    <x:tableColumn id="6" name="Kanıt / karar referansı"/>
    <x:tableColumn id="7" name="Kayıt durum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HSE50_0" displayName="HSE50_0" ref="A5:L51" headerRowCount="1" totalsRowCount="0" totalsRowShown="0">
  <x:tableColumns count="12">
    <x:tableColumn id="1" name="Kaynak ID"/>
    <x:tableColumn id="2" name="Kaynak ekran"/>
    <x:tableColumn id="3" name="Alan anahtarı"/>
    <x:tableColumn id="4" name="Özgün etiket"/>
    <x:tableColumn id="5" name="Kaynak entity"/>
    <x:tableColumn id="6" name="Widget / semantik"/>
    <x:tableColumn id="7" name="Kaynak zorunluluk / default / seçenek"/>
    <x:tableColumn id="8" name="Kaynak rol metni"/>
    <x:tableColumn id="9" name="Kaynak validasyon / offline metni"/>
    <x:tableColumn id="10" name="Özgün FR"/>
    <x:tableColumn id="11" name="Özgün TC"/>
    <x:tableColumn id="12" name="Kaynak dur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HSE50_1" displayName="HSE50_1" ref="A5:L51" headerRowCount="1" totalsRowCount="0" totalsRowShown="0">
  <x:tableColumns count="12">
    <x:tableColumn id="1" name="Alan ID"/>
    <x:tableColumn id="2" name="Form / nesne"/>
    <x:tableColumn id="3" name="Mantıksal alan"/>
    <x:tableColumn id="4" name="TR etiketi"/>
    <x:tableColumn id="5" name="Kardinalite"/>
    <x:tableColumn id="6" name="Veri türü"/>
    <x:tableColumn id="7" name="Zorunluluk koşulu"/>
    <x:tableColumn id="8" name="Doğrulama / emniyet sınırı"/>
    <x:tableColumn id="9" name="Önerilen rol"/>
    <x:tableColumn id="10" name="Kaynak ID"/>
    <x:tableColumn id="11" name="Kapı"/>
    <x:tableColumn id="12" name="Duru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HSE50_2" displayName="HSE50_2" ref="A5:K27" headerRowCount="1" totalsRowCount="0" totalsRowShown="0">
  <x:tableColumns count="11">
    <x:tableColumn id="1" name="Satır ID"/>
    <x:tableColumn id="2" name="Tekrar grubu"/>
    <x:tableColumn id="3" name="Mantıksal alan"/>
    <x:tableColumn id="4" name="TR etiketi"/>
    <x:tableColumn id="5" name="Kardinalite"/>
    <x:tableColumn id="6" name="Tür"/>
    <x:tableColumn id="7" name="Doğrulama / kabul koşulu"/>
    <x:tableColumn id="8" name="Önerilen rol"/>
    <x:tableColumn id="9" name="Kaynak ID"/>
    <x:tableColumn id="10" name="Mevcut alan ilişkisi"/>
    <x:tableColumn id="11" name="Duru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HSE50_3" displayName="HSE50_3" ref="A5:J14" headerRowCount="1" totalsRowCount="0" totalsRowShown="0">
  <x:tableColumns count="10">
    <x:tableColumn id="1" name="Aile ID"/>
    <x:tableColumn id="2" name="İzin ailesi"/>
    <x:tableColumn id="3" name="Uygulanma koşulu"/>
    <x:tableColumn id="4" name="Koşullu form alanları"/>
    <x:tableColumn id="5" name="Etkinleştirme / doğrulama kapısı"/>
    <x:tableColumn id="6" name="Değişiklik / kapanış sınırı"/>
    <x:tableColumn id="7" name="Yetkili insan rolü"/>
    <x:tableColumn id="8" name="Kaynak ID"/>
    <x:tableColumn id="9" name="Kapı"/>
    <x:tableColumn id="10" name="Durum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HSE50_4" displayName="HSE50_4" ref="A5:K28" headerRowCount="1" totalsRowCount="0" totalsRowShown="0">
  <x:tableColumns count="11">
    <x:tableColumn id="1" name="Kural ID"/>
    <x:tableColumn id="2" name="Tür"/>
    <x:tableColumn id="3" name="Nesne / rol"/>
    <x:tableColumn id="4" name="Başlangıç / kapsam"/>
    <x:tableColumn id="5" name="Olay / komut"/>
    <x:tableColumn id="6" name="Hedef / öneri"/>
    <x:tableColumn id="7" name="Önkoşul / sunucu kuralı"/>
    <x:tableColumn id="8" name="Etkin yetki sonucu"/>
    <x:tableColumn id="9" name="İnsan / rol ayrımı"/>
    <x:tableColumn id="10" name="Kaynak ID"/>
    <x:tableColumn id="11" name="Duru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HSE50_5" displayName="HSE50_5" ref="A5:I23" headerRowCount="1" totalsRowCount="0" totalsRowShown="0">
  <x:tableColumns count="9">
    <x:tableColumn id="1" name="Ekran ID"/>
    <x:tableColumn id="2" name="Menü / kaynak ekran"/>
    <x:tableColumn id="3" name="Ekran veya alan anahtarı"/>
    <x:tableColumn id="4" name="Mevcut durum"/>
    <x:tableColumn id="5" name="Önerilen akış / özgün FR"/>
    <x:tableColumn id="6" name="İlişki / özgün TC"/>
    <x:tableColumn id="7" name="Kabul sınırı / kaynak durum"/>
    <x:tableColumn id="8" name="Kaynak ID"/>
    <x:tableColumn id="9" name="Tasarım durumu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HSE50_6" displayName="HSE50_6" ref="A5:K35" headerRowCount="1" totalsRowCount="0" totalsRowShown="0">
  <x:tableColumns count="11">
    <x:tableColumn id="1" name="Vaka ID"/>
    <x:tableColumn id="2" name="Kapı"/>
    <x:tableColumn id="3" name="Konu"/>
    <x:tableColumn id="4" name="Kabul koşulu"/>
    <x:tableColumn id="5" name="Teknik karar"/>
    <x:tableColumn id="6" name="Kanıt kaydı"/>
    <x:tableColumn id="7" name="Yetkili onay"/>
    <x:tableColumn id="8" name="Kanıt / karar referansı"/>
    <x:tableColumn id="9" name="Hesaplanan durum"/>
    <x:tableColumn id="10" name="Test yürütme durumu"/>
    <x:tableColumn id="11" name="Kaynak I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HSE50_7" displayName="HSE50_7" ref="A5:F27" headerRowCount="1" totalsRowCount="0" totalsRowShown="0">
  <x:tableColumns count="6">
    <x:tableColumn id="1" name="Kaynak ID"/>
    <x:tableColumn id="2" name="Kaynak / başlık"/>
    <x:tableColumn id="3" name="Kanıt türü"/>
    <x:tableColumn id="4" name="Erişim tarihi"/>
    <x:tableColumn id="5" name="URL / ek kimliği"/>
    <x:tableColumn id="6" name="Kapsam / doğrulama sınır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dd8f9caa024f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2d0eb92f194c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801a0ffa364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0462a87c2248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d70a414bf04d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4de0b96ca9c46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f1279c168241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d015c03b7dc44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04597523f1b40e6" /></Relationships>
</file>

<file path=xl/worksheets/sheet1.xml><?xml version="1.0" encoding="utf-8"?>
<x:worksheet xmlns:x="http://schemas.openxmlformats.org/spreadsheetml/2006/main">
  <x:sheetPr>
    <x:tabColor rgb="FF243F65"/>
  </x:sheetPr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42" hidden="0" customWidth="1"/>
    <x:col min="4" max="4" width="16" hidden="0" customWidth="1"/>
    <x:col min="5" max="5" width="22.5" hidden="0" customWidth="1"/>
    <x:col min="6" max="6" width="20.5" hidden="0" customWidth="1"/>
    <x:col min="7" max="7" width="13.5" hidden="0" customWidth="1"/>
  </x:cols>
  <x:sheetData>
    <x:row r="1" ht="23" customHeight="1">
      <x:c r="A1" s="14"/>
      <x:c r="B1" s="14"/>
      <x:c r="C1" s="14"/>
      <x:c r="D1" s="14"/>
      <x:c r="E1" s="14"/>
      <x:c r="F1" s="14"/>
      <x:c r="G1" s="14"/>
    </x:row>
    <x:row r="2" ht="23" customHeight="1">
      <x:c r="A2" s="15" t="str">
        <x:v>POSEIDON v26 HSE form ve yetkilendirme sözlüğü</x:v>
      </x:c>
      <x:c r="B2" s="14"/>
      <x:c r="C2" s="14"/>
      <x:c r="D2" s="14"/>
      <x:c r="E2" s="14"/>
      <x:c r="F2" s="14"/>
      <x:c r="G2" s="14"/>
    </x:row>
    <x:row r="3" ht="23" customHeight="1">
      <x:c r="A3" s="16"/>
      <x:c r="B3" s="16"/>
      <x:c r="C3" s="16"/>
      <x:c r="D3" s="16"/>
      <x:c r="E3" s="16"/>
      <x:c r="F3" s="16"/>
      <x:c r="G3" s="14"/>
    </x:row>
    <x:row r="4" ht="23" customHeight="1">
      <x:c r="A4" s="14" t="str">
        <x:v>50.02. NEW-PROPOSED. Operasyonel çalışma izni değildir.</x:v>
      </x:c>
      <x:c r="B4" s="14"/>
      <x:c r="C4" s="14"/>
      <x:c r="D4" s="14"/>
      <x:c r="E4" s="14"/>
      <x:c r="F4" s="14"/>
      <x:c r="G4" s="14"/>
    </x:row>
    <x:row r="5" ht="23" customHeight="1">
      <x:c r="A5" s="14"/>
      <x:c r="B5" s="14"/>
      <x:c r="C5" s="14"/>
      <x:c r="D5" s="14"/>
      <x:c r="E5" s="14"/>
      <x:c r="F5" s="14"/>
      <x:c r="G5" s="14"/>
    </x:row>
    <x:row r="6" ht="30" customHeight="1">
      <x:c r="A6" s="18" t="str">
        <x:v>Gösterge</x:v>
      </x:c>
      <x:c r="B6" s="18" t="str">
        <x:v>Adet / durum</x:v>
      </x:c>
      <x:c r="C6" s="18" t="str">
        <x:v>Tanım</x:v>
      </x:c>
      <x:c r="D6" s="18" t="str">
        <x:v>Kanıt</x:v>
      </x:c>
      <x:c r="E6" s="14"/>
      <x:c r="F6" s="14"/>
      <x:c r="G6" s="14"/>
    </x:row>
    <x:row r="7" ht="33" customHeight="1">
      <x:c r="A7" s="19" t="str">
        <x:v>Kaynak RA alanı</x:v>
      </x:c>
      <x:c r="B7" s="20" t="n">
        <x:f>COUNTIFS('Kaynak Alanlar'!B6:B51,"risk-assessment")</x:f>
        <x:v>20</x:v>
      </x:c>
      <x:c r="C7" s="19" t="str">
        <x:v>Mevcut RiskAssessment kaynak satırları.</x:v>
      </x:c>
      <x:c r="D7" s="19" t="str">
        <x:v>HT01</x:v>
      </x:c>
      <x:c r="E7" s="14"/>
      <x:c r="F7" s="14"/>
      <x:c r="G7" s="14"/>
    </x:row>
    <x:row r="8" ht="33" customHeight="1">
      <x:c r="A8" s="19" t="str">
        <x:v>Kaynak şablon alanı</x:v>
      </x:c>
      <x:c r="B8" s="20" t="n">
        <x:f>COUNTIFS('Kaynak Alanlar'!B6:B51,"risk-template-library")</x:f>
        <x:v>14</x:v>
      </x:c>
      <x:c r="C8" s="19" t="str">
        <x:v>Mevcut RiskTemplate kaynak satırları.</x:v>
      </x:c>
      <x:c r="D8" s="19" t="str">
        <x:v>HT01</x:v>
      </x:c>
      <x:c r="E8" s="14"/>
      <x:c r="F8" s="14"/>
      <x:c r="G8" s="14"/>
    </x:row>
    <x:row r="9" ht="33" customHeight="1">
      <x:c r="A9" s="19" t="str">
        <x:v>Kaynak high-risk alanı</x:v>
      </x:c>
      <x:c r="B9" s="20" t="n">
        <x:f>COUNTIFS('Kaynak Alanlar'!B6:B51,"high-risk-work")</x:f>
        <x:v>12</x:v>
      </x:c>
      <x:c r="C9" s="19" t="str">
        <x:v>Kaynak HighRiskWork; hedefte projection.</x:v>
      </x:c>
      <x:c r="D9" s="19" t="str">
        <x:v>HT01</x:v>
      </x:c>
      <x:c r="E9" s="14"/>
      <x:c r="F9" s="14"/>
      <x:c r="G9" s="14"/>
    </x:row>
    <x:row r="10" ht="33" customHeight="1">
      <x:c r="A10" s="19" t="str">
        <x:v>Kaynak alan toplamı</x:v>
      </x:c>
      <x:c r="B10" s="20" t="n">
        <x:f>SUM(B7:B9)</x:f>
        <x:v>46</x:v>
      </x:c>
      <x:c r="C10" s="19" t="str">
        <x:v>FR/TC izleri kayıpsız. Uygulanmış demek değil.</x:v>
      </x:c>
      <x:c r="D10" s="19" t="str">
        <x:v>HT01</x:v>
      </x:c>
      <x:c r="E10" s="14"/>
      <x:c r="F10" s="14"/>
      <x:c r="G10" s="14"/>
    </x:row>
    <x:row r="11" ht="33" customHeight="1">
      <x:c r="A11" s="19" t="str">
        <x:v>Yeni form alanı</x:v>
      </x:c>
      <x:c r="B11" s="20" t="n">
        <x:f>COUNTA('Form Alanları'!A6:A51)</x:f>
        <x:v>46</x:v>
      </x:c>
      <x:c r="C11" s="19" t="str">
        <x:v>Yeni mantıksal öneriler; mevcut alanlardan ayrı.</x:v>
      </x:c>
      <x:c r="D11" s="19" t="str">
        <x:v>Form Alanları</x:v>
      </x:c>
      <x:c r="E11" s="14"/>
      <x:c r="F11" s="14"/>
      <x:c r="G11" s="14"/>
    </x:row>
    <x:row r="12" ht="33" customHeight="1">
      <x:c r="A12" s="19" t="str">
        <x:v>JSA satır sözleşmesi</x:v>
      </x:c>
      <x:c r="B12" s="20" t="n">
        <x:f>COUNTA('JSA Satırları'!A6:A27)</x:f>
        <x:v>22</x:v>
      </x:c>
      <x:c r="C12" s="19" t="str">
        <x:v>Tekrar eden step/hazard/control alanları.</x:v>
      </x:c>
      <x:c r="D12" s="19" t="str">
        <x:v>JSA Satırları</x:v>
      </x:c>
      <x:c r="E12" s="14"/>
      <x:c r="F12" s="14"/>
      <x:c r="G12" s="14"/>
    </x:row>
    <x:row r="13" ht="33" customHeight="1">
      <x:c r="A13" s="19" t="str">
        <x:v>İzin ailesi</x:v>
      </x:c>
      <x:c r="B13" s="20" t="n">
        <x:f>COUNTA('İzin Aileleri'!A6:A14)</x:f>
        <x:v>9</x:v>
      </x:c>
      <x:c r="C13" s="19" t="str">
        <x:v>Hepsi devre dışı tasarım önerisi.</x:v>
      </x:c>
      <x:c r="D13" s="19" t="str">
        <x:v>İzin Aileleri</x:v>
      </x:c>
      <x:c r="E13" s="14"/>
      <x:c r="F13" s="14"/>
      <x:c r="G13" s="14"/>
    </x:row>
    <x:row r="14" ht="33" customHeight="1">
      <x:c r="A14" s="19" t="str">
        <x:v>Kabul senaryosu</x:v>
      </x:c>
      <x:c r="B14" s="20" t="n">
        <x:f>COUNTA('Kabul Planı'!A6:A35)</x:f>
        <x:v>30</x:v>
      </x:c>
      <x:c r="C14" s="19" t="str">
        <x:v>PLANNED / NOT_RUN; ürün testi koşulmadı.</x:v>
      </x:c>
      <x:c r="D14" s="19" t="str">
        <x:v>Kabul Planı</x:v>
      </x:c>
      <x:c r="E14" s="14"/>
      <x:c r="F14" s="14"/>
      <x:c r="G14" s="14"/>
    </x:row>
    <x:row r="15" ht="33" customHeight="1">
      <x:c r="A15" s="19" t="str">
        <x:v>Kapanan kabul</x:v>
      </x:c>
      <x:c r="B15" s="20" t="n">
        <x:f>COUNTIFS('Kabul Planı'!I6:I35,"Tamam")</x:f>
        <x:v>0</x:v>
      </x:c>
      <x:c r="C15" s="19" t="str">
        <x:v>Karar, kanıt, onay, referans ve RUN / PASS birlikte.</x:v>
      </x:c>
      <x:c r="D15" s="19" t="str">
        <x:v>Kabul Planı</x:v>
      </x:c>
      <x:c r="E15" s="14"/>
      <x:c r="F15" s="14"/>
      <x:c r="G15" s="14"/>
    </x:row>
    <x:row r="16" ht="33" customHeight="1">
      <x:c r="A16" s="19" t="str">
        <x:v>Açık tasarım kapısı</x:v>
      </x:c>
      <x:c r="B16" s="20" t="n">
        <x:f>COUNTA(A21:A28)-COUNTIFS(G21:G28,"Tamam")</x:f>
        <x:v>8</x:v>
      </x:c>
      <x:c r="C16" s="19" t="str">
        <x:v>Onay veya kanıt referansı eksikse açık kalır.</x:v>
      </x:c>
      <x:c r="D16" s="19" t="str">
        <x:v>Bu sayfa</x:v>
      </x:c>
      <x:c r="E16" s="14"/>
      <x:c r="F16" s="14"/>
      <x:c r="G16" s="14"/>
    </x:row>
    <x:row r="17" ht="23" customHeight="1">
      <x:c r="A17" s="14"/>
      <x:c r="B17" s="14"/>
      <x:c r="C17" s="14"/>
      <x:c r="D17" s="14"/>
      <x:c r="E17" s="14"/>
      <x:c r="F17" s="14"/>
      <x:c r="G17" s="14"/>
    </x:row>
    <x:row r="18" ht="23" customHeight="1">
      <x:c r="A18" s="14" t="str">
        <x:v>Etkin yetki sınırı</x:v>
      </x:c>
      <x:c r="B18" s="14" t="str">
        <x:v>P0 DEMO / İDARİ-ONLY. Runtime ve operasyonel yetkilendirme uygulanmadı.</x:v>
      </x:c>
      <x:c r="C18" s="14"/>
      <x:c r="D18" s="14"/>
      <x:c r="E18" s="14"/>
      <x:c r="F18" s="14"/>
      <x:c r="G18" s="14"/>
    </x:row>
    <x:row r="19" ht="23" customHeight="1">
      <x:c r="A19" s="14"/>
      <x:c r="B19" s="14"/>
      <x:c r="C19" s="14"/>
      <x:c r="D19" s="14"/>
      <x:c r="E19" s="14"/>
      <x:c r="F19" s="14"/>
      <x:c r="G19" s="14"/>
    </x:row>
    <x:row r="20" ht="30" customHeight="1">
      <x:c r="A20" s="21" t="str">
        <x:v>Kapı</x:v>
      </x:c>
      <x:c r="B20" s="21" t="str">
        <x:v>Karar konusu</x:v>
      </x:c>
      <x:c r="C20" s="21" t="str">
        <x:v>Kapanış ölçütü</x:v>
      </x:c>
      <x:c r="D20" s="21" t="str">
        <x:v>Karar</x:v>
      </x:c>
      <x:c r="E20" s="21" t="str">
        <x:v>Önerilen sahip</x:v>
      </x:c>
      <x:c r="F20" s="21" t="str">
        <x:v>Kanıt / karar referansı</x:v>
      </x:c>
      <x:c r="G20" s="21" t="str">
        <x:v>Kayıt durumu</x:v>
      </x:c>
    </x:row>
    <x:row r="21" ht="84" customHeight="1">
      <x:c r="A21" s="19" t="str">
        <x:v>HSE-G01</x:v>
      </x:c>
      <x:c r="B21" s="19" t="str">
        <x:v>Kaynak ve kapsam onayı</x:v>
      </x:c>
      <x:c r="C21" s="19" t="str">
        <x:v>Gemi/bayrak/sefer/işveren/SMS bağlamı, kaynak sürümü ve yasal-tavsiye ayrımı yetkili hukuk/denizcilik/İSG incelemesinden geçer.</x:v>
      </x:c>
      <x:c r="D21" s="22" t="str">
        <x:v>Bekliyor</x:v>
      </x:c>
      <x:c r="E21" s="19" t="str">
        <x:v>Yetkili ürün / SMS / QA</x:v>
      </x:c>
      <x:c r="F21" s="22" t="str"/>
      <x:c r="G21" s="19" t="str">
        <x:f>IF(AND(D21="Onaylandı",F21&lt;&gt;""),"Tamam","Açık")</x:f>
        <x:v>Açık</x:v>
      </x:c>
    </x:row>
    <x:row r="22" ht="84" customHeight="1">
      <x:c r="A22" s="19" t="str">
        <x:v>HSE-G02</x:v>
      </x:c>
      <x:c r="B22" s="19" t="str">
        <x:v>Form ve revizyon sözleşmesi</x:v>
      </x:c>
      <x:c r="C22" s="19" t="str">
        <x:v>46 kaynak alanı ve FR/TC korunur. Baseline RA, job JSA, dinamik değerlendirme ve canonical Permit ayrı kimlik/revizyon taşır; yeni alanlar ve tekrar eden satırlar onaylanır.</x:v>
      </x:c>
      <x:c r="D22" s="22" t="str">
        <x:v>Bekliyor</x:v>
      </x:c>
      <x:c r="E22" s="19" t="str">
        <x:v>Yetkili ürün / SMS / QA</x:v>
      </x:c>
      <x:c r="F22" s="22" t="str"/>
      <x:c r="G22" s="19" t="str">
        <x:f>IF(AND(D22="Onaylandı",F22&lt;&gt;""),"Tamam","Açık")</x:f>
        <x:v>Açık</x:v>
      </x:c>
    </x:row>
    <x:row r="23" ht="84" customHeight="1">
      <x:c r="A23" s="19" t="str">
        <x:v>HSE-G03</x:v>
      </x:c>
      <x:c r="B23" s="19" t="str">
        <x:v>İzin ailesi önkoşulları</x:v>
      </x:c>
      <x:c r="C23" s="19" t="str">
        <x:v>Etkinleştirilen her izin ailesinin uygulanabilir izolasyon, SIMOPS, yetkinlik ve güncel kanıt önkoşulları eksiksiz uygulanır. P0 bu kapıya kadar DEMO/idari-only kalır.</x:v>
      </x:c>
      <x:c r="D23" s="22" t="str">
        <x:v>Bekliyor</x:v>
      </x:c>
      <x:c r="E23" s="19" t="str">
        <x:v>Yetkili ürün / SMS / QA</x:v>
      </x:c>
      <x:c r="F23" s="22" t="str"/>
      <x:c r="G23" s="19" t="str">
        <x:f>IF(AND(D23="Onaylandı",F23&lt;&gt;""),"Tamam","Açık")</x:f>
        <x:v>Açık</x:v>
      </x:c>
    </x:row>
    <x:row r="24" ht="84" customHeight="1">
      <x:c r="A24" s="19" t="str">
        <x:v>HSE-G04</x:v>
      </x:c>
      <x:c r="B24" s="19" t="str">
        <x:v>Etkin yetkilendirme ve değişiklik</x:v>
      </x:c>
      <x:c r="C24" s="19" t="str">
        <x:v>Kritik RA/koşul değişimi effective authorization değerini askıya/geçersiz/REVIEW_REQUIRED yapar; insan yeniden değerlendirmesi ve yetkili yeniden onay olmadan geçerli gösterim veya otomatik resume yoktur.</x:v>
      </x:c>
      <x:c r="D24" s="22" t="str">
        <x:v>Bekliyor</x:v>
      </x:c>
      <x:c r="E24" s="19" t="str">
        <x:v>Yetkili ürün / SMS / QA</x:v>
      </x:c>
      <x:c r="F24" s="22" t="str"/>
      <x:c r="G24" s="19" t="str">
        <x:f>IF(AND(D24="Onaylandı",F24&lt;&gt;""),"Tamam","Açık")</x:f>
        <x:v>Açık</x:v>
      </x:c>
    </x:row>
    <x:row r="25" ht="84" customHeight="1">
      <x:c r="A25" s="19" t="str">
        <x:v>HSE-G05</x:v>
      </x:c>
      <x:c r="B25" s="19" t="str">
        <x:v>Sunucu yetkisi ve kalıcılık</x:v>
      </x:c>
      <x:c r="C25" s="19" t="str">
        <x:v>Komut bazlı scope/grant, görev ayrılığı, CSRF, If-Match, idempotency/replay, belirsiz sonuç anahtarı, atomik audit ve kalıcılık negatif testlerle doğrulanır.</x:v>
      </x:c>
      <x:c r="D25" s="22" t="str">
        <x:v>Bekliyor</x:v>
      </x:c>
      <x:c r="E25" s="19" t="str">
        <x:v>Yetkili ürün / SMS / QA</x:v>
      </x:c>
      <x:c r="F25" s="22" t="str"/>
      <x:c r="G25" s="19" t="str">
        <x:f>IF(AND(D25="Onaylandı",F25&lt;&gt;""),"Tamam","Açık")</x:f>
        <x:v>Açık</x:v>
      </x:c>
    </x:row>
    <x:row r="26" ht="84" customHeight="1">
      <x:c r="A26" s="19" t="str">
        <x:v>HSE-G06</x:v>
      </x:c>
      <x:c r="B26" s="19" t="str">
        <x:v>Kanıt, imza ve mahremiyet</x:v>
      </x:c>
      <x:c r="C26" s="19" t="str">
        <x:v>Karantina erişimi atlanmaz; güncel/erişilebilir kanıt, imza/vekalet/saklama politikası ve asgari kişisel veri sınırı onaylanır. Klinik sağlık verisi forma kopyalanmaz.</x:v>
      </x:c>
      <x:c r="D26" s="22" t="str">
        <x:v>Bekliyor</x:v>
      </x:c>
      <x:c r="E26" s="19" t="str">
        <x:v>Yetkili ürün / SMS / QA</x:v>
      </x:c>
      <x:c r="F26" s="22" t="str"/>
      <x:c r="G26" s="19" t="str">
        <x:f>IF(AND(D26="Onaylandı",F26&lt;&gt;""),"Tamam","Açık")</x:f>
        <x:v>Açık</x:v>
      </x:c>
    </x:row>
    <x:row r="27" ht="84" customHeight="1">
      <x:c r="A27" s="19" t="str">
        <x:v>HSE-G07</x:v>
      </x:c>
      <x:c r="B27" s="19" t="str">
        <x:v>Offline ve güncellik</x:v>
      </x:c>
      <x:c r="C27" s="19" t="str">
        <x:v>Cache ACTIVE/ISSUED tarihsel durumdur. Güncellik/saat/yetki belirsizse mevcut geçerlilik iddia edilmez; issue/resume/extension otomatik olmaz. Yeniden bağlantıda revizyon/çatışma/yetki uzlaştırılır.</x:v>
      </x:c>
      <x:c r="D27" s="22" t="str">
        <x:v>Bekliyor</x:v>
      </x:c>
      <x:c r="E27" s="19" t="str">
        <x:v>Yetkili ürün / SMS / QA</x:v>
      </x:c>
      <x:c r="F27" s="22" t="str"/>
      <x:c r="G27" s="19" t="str">
        <x:f>IF(AND(D27="Onaylandı",F27&lt;&gt;""),"Tamam","Açık")</x:f>
        <x:v>Açık</x:v>
      </x:c>
    </x:row>
    <x:row r="28" ht="84" customHeight="1">
      <x:c r="A28" s="19" t="str">
        <x:v>HSE-G08</x:v>
      </x:c>
      <x:c r="B28" s="19" t="str">
        <x:v>Gezinim, UAT ve release</x:v>
      </x:c>
      <x:c r="C28" s="19" t="str">
        <x:v>Menü/arama, tam JSA satırları, TR/EN/klavye/mobil/dirty-scope ve kullanıcı UAT doğrulanır. Tüm ilgili kapılar ve yetkili release kararı olmadan operasyonel kullanım yoktur.</x:v>
      </x:c>
      <x:c r="D28" s="22" t="str">
        <x:v>Bekliyor</x:v>
      </x:c>
      <x:c r="E28" s="19" t="str">
        <x:v>Yetkili ürün / SMS / QA</x:v>
      </x:c>
      <x:c r="F28" s="22" t="str"/>
      <x:c r="G28" s="19" t="str">
        <x:f>IF(AND(D28="Onaylandı",F28&lt;&gt;""),"Tamam","Açık")</x:f>
        <x:v>Açık</x:v>
      </x:c>
    </x:row>
    <x:row r="29" ht="23" customHeight="1">
      <x:c r="A29" s="14"/>
      <x:c r="B29" s="14"/>
      <x:c r="C29" s="14"/>
      <x:c r="D29" s="14"/>
      <x:c r="E29" s="14"/>
      <x:c r="F29" s="14"/>
      <x:c r="G29" s="14"/>
    </x:row>
    <x:row r="30" ht="23" customHeight="1">
      <x:c r="A30" s="14"/>
      <x:c r="B30" s="14"/>
      <x:c r="C30" s="14"/>
      <x:c r="D30" s="14"/>
      <x:c r="E30" s="14"/>
      <x:c r="F30" s="14"/>
      <x:c r="G30" s="14"/>
    </x:row>
    <x:row r="31" ht="23" customHeight="1">
      <x:c r="A31" s="14"/>
      <x:c r="B31" s="14" t="str">
        <x:v>Kritik RA/koşul değişimi etkin yetkiyi askıya/geçersiz/REVIEW_REQUIRED yapar. Salt uyarı yeterli değildir.</x:v>
      </x:c>
      <x:c r="C31" s="14"/>
      <x:c r="D31" s="14"/>
      <x:c r="E31" s="14"/>
      <x:c r="F31" s="14"/>
      <x:c r="G31" s="14"/>
    </x:row>
    <x:row r="32" ht="23" customHeight="1">
      <x:c r="A32" s="14"/>
      <x:c r="B32" s="14" t="str">
        <x:v>Cached ACTIVE/ISSUED tarihsel durumdur. Güncellik/saat/yetki belirsizse current VALID gösterilemez.</x:v>
      </x:c>
      <x:c r="C32" s="14"/>
      <x:c r="D32" s="14"/>
      <x:c r="E32" s="14"/>
      <x:c r="F32" s="14"/>
      <x:c r="G32" s="14"/>
    </x:row>
    <x:row r="33" ht="23" customHeight="1">
      <x:c r="A33" s="14"/>
      <x:c r="B33" s="14" t="str">
        <x:v>Otomatik resume/issue/extension yok. Bütün ilgili önkoşullar ve yetkili insan yeniden onayı gerekir.</x:v>
      </x:c>
      <x:c r="C33" s="14"/>
      <x:c r="D33" s="14"/>
      <x:c r="E33" s="14"/>
      <x:c r="F33" s="14"/>
      <x:c r="G33" s="14"/>
    </x:row>
    <x:row r="34" ht="23" customHeight="1">
      <x:c r="A34" s="14"/>
      <x:c r="B34" s="14" t="str">
        <x:v>Kabul hücrelerinin kapanması gerçek izin, yasal uygunluk veya release onayı oluşturmaz.</x:v>
      </x:c>
      <x:c r="C34" s="14"/>
      <x:c r="D34" s="14"/>
      <x:c r="E34" s="14"/>
      <x:c r="F34" s="14"/>
      <x:c r="G34" s="14"/>
    </x:row>
    <x:row r="35" ht="23" customHeight="1">
      <x:c r="A35" s="14"/>
      <x:c r="B35" s="14" t="str">
        <x:v>151 baseline kaynak dosyası değişmedi. UI/API/DB/rol-grant/operasyonel kabul uygulanmadı.</x:v>
      </x:c>
      <x:c r="C35" s="14"/>
      <x:c r="D35" s="14"/>
      <x:c r="E35" s="14"/>
      <x:c r="F35" s="14"/>
      <x:c r="G35" s="14"/>
    </x:row>
    <x:row r="36" ht="23" customHeight="1">
      <x:c r="A36" s="14"/>
      <x:c r="B36" s="14"/>
      <x:c r="C36" s="14"/>
      <x:c r="D36" s="14"/>
      <x:c r="E36" s="14"/>
      <x:c r="F36" s="14"/>
      <x:c r="G36" s="14"/>
    </x:row>
    <x:row r="37" ht="23" customHeight="1">
      <x:c r="A37" s="14"/>
      <x:c r="B37" s="14"/>
      <x:c r="C37" s="14"/>
      <x:c r="D37" s="14"/>
      <x:c r="E37" s="14"/>
      <x:c r="F37" s="14"/>
      <x:c r="G37" s="14"/>
    </x:row>
    <x:row r="38" ht="23" customHeight="1">
      <x:c r="A38" s="14"/>
      <x:c r="B38" s="14"/>
      <x:c r="C38" s="14"/>
      <x:c r="D38" s="14"/>
      <x:c r="E38" s="14"/>
      <x:c r="F38" s="14"/>
      <x:c r="G38" s="14"/>
    </x:row>
    <x:row r="39" ht="23" customHeight="1">
      <x:c r="A39" s="14"/>
      <x:c r="B39" s="14"/>
      <x:c r="C39" s="14"/>
      <x:c r="D39" s="14"/>
      <x:c r="E39" s="14"/>
      <x:c r="F39" s="14"/>
      <x:c r="G39" s="14"/>
    </x:row>
    <x:row r="40" ht="23" customHeight="1">
      <x:c r="A40" s="14"/>
      <x:c r="B40" s="14"/>
      <x:c r="C40" s="14"/>
      <x:c r="D40" s="14"/>
      <x:c r="E40" s="14"/>
      <x:c r="F40" s="14"/>
      <x:c r="G40" s="14"/>
    </x:row>
  </x:sheetData>
  <x:dataValidations count="1">
    <x:dataValidation type="list" sqref="D21:D28">
      <x:formula1>"Bekliyor,Onaylandı,Reddedildi"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dd8f9caa024fa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5" hidden="0" customWidth="1"/>
    <x:col min="2" max="2" width="20.5" hidden="0" customWidth="1"/>
    <x:col min="3" max="3" width="22.5" hidden="0" customWidth="1"/>
    <x:col min="4" max="4" width="21" hidden="0" customWidth="1"/>
    <x:col min="5" max="5" width="14" hidden="0" customWidth="1"/>
    <x:col min="6" max="6" width="19.5" hidden="0" customWidth="1"/>
    <x:col min="7" max="7" width="22" hidden="0" customWidth="1"/>
    <x:col min="8" max="8" width="34" hidden="0" customWidth="1"/>
    <x:col min="9" max="9" width="43" hidden="0" customWidth="1"/>
    <x:col min="10" max="10" width="30" hidden="0" customWidth="1"/>
    <x:col min="11" max="11" width="30" hidden="0" customWidth="1"/>
    <x:col min="12" max="12" width="2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Mevcut 46 alan ve değişmeden korunan izler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5" t="str">
        <x:v>Ham kaynak beyanlarıdır. Mandatory/default/offline metni üretim onayı değildir; yeni sözleşme ayrı sekmededir.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.5" customHeight="1">
      <x:c r="A5" s="10" t="str">
        <x:v>Kaynak ID</x:v>
      </x:c>
      <x:c r="B5" s="10" t="str">
        <x:v>Kaynak ekran</x:v>
      </x:c>
      <x:c r="C5" s="10" t="str">
        <x:v>Alan anahtarı</x:v>
      </x:c>
      <x:c r="D5" s="10" t="str">
        <x:v>Özgün etiket</x:v>
      </x:c>
      <x:c r="E5" s="10" t="str">
        <x:v>Kaynak entity</x:v>
      </x:c>
      <x:c r="F5" s="10" t="str">
        <x:v>Widget / semantik</x:v>
      </x:c>
      <x:c r="G5" s="10" t="str">
        <x:v>Kaynak zorunluluk / default / seçenek</x:v>
      </x:c>
      <x:c r="H5" s="10" t="str">
        <x:v>Kaynak rol metni</x:v>
      </x:c>
      <x:c r="I5" s="10" t="str">
        <x:v>Kaynak validasyon / offline metni</x:v>
      </x:c>
      <x:c r="J5" s="10" t="str">
        <x:v>Özgün FR</x:v>
      </x:c>
      <x:c r="K5" s="10" t="str">
        <x:v>Özgün TC</x:v>
      </x:c>
      <x:c r="L5" s="10" t="str">
        <x:v>Kaynak durum</x:v>
      </x:c>
    </x:row>
    <x:row r="6" ht="66" customHeight="1">
      <x:c r="A6" s="11" t="str">
        <x:v>SRC-01</x:v>
      </x:c>
      <x:c r="B6" s="11" t="str">
        <x:v>risk-assessment</x:v>
      </x:c>
      <x:c r="C6" s="11" t="str">
        <x:v>assessment_no</x:v>
      </x:c>
      <x:c r="D6" s="11" t="str">
        <x:v>Assessment Number</x:v>
      </x:c>
      <x:c r="E6" s="11" t="str">
        <x:v>RiskAssessment</x:v>
      </x:c>
      <x:c r="F6" s="11" t="str">
        <x:v>{"widget":"input/text","semantic":"Text"}</x:v>
      </x:c>
      <x:c r="G6" s="11" t="str">
        <x:v>{"mandatory":"Yes","default":"","options":""}</x:v>
      </x:c>
      <x:c r="H6" s="11" t="str">
        <x:v>Master/Tug Master; DPA/HSEQ; Control Owner; assigned crew; auditor read/verify as scoped</x:v>
      </x:c>
      <x:c r="I6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6" s="11" t="str">
        <x:v>FR-risk-assessment-assessment_no</x:v>
      </x:c>
      <x:c r="K6" s="11" t="str">
        <x:v>TC-risk-assessment-assessment_no</x:v>
      </x:c>
      <x:c r="L6" s="11" t="str">
        <x:v>SOURCE_PRESENT_RUNTIME_NOT_IMPLEMENTED</x:v>
      </x:c>
    </x:row>
    <x:row r="7" ht="66" customHeight="1">
      <x:c r="A7" s="11" t="str">
        <x:v>SRC-02</x:v>
      </x:c>
      <x:c r="B7" s="11" t="str">
        <x:v>risk-assessment</x:v>
      </x:c>
      <x:c r="C7" s="11" t="str">
        <x:v>vessel_id</x:v>
      </x:c>
      <x:c r="D7" s="11" t="str">
        <x:v>Vessel / Tug</x:v>
      </x:c>
      <x:c r="E7" s="11" t="str">
        <x:v>RiskAssessment</x:v>
      </x:c>
      <x:c r="F7" s="11" t="str">
        <x:v>{"widget":"input/text","semantic":"Reference"}</x:v>
      </x:c>
      <x:c r="G7" s="11" t="str">
        <x:v>{"mandatory":"Yes","default":"","options":""}</x:v>
      </x:c>
      <x:c r="H7" s="11" t="str">
        <x:v>Master/Tug Master; DPA/HSEQ; Control Owner; assigned crew; auditor read/verify as scoped</x:v>
      </x:c>
      <x:c r="I7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7" s="11" t="str">
        <x:v>FR-risk-assessment-vessel_id</x:v>
      </x:c>
      <x:c r="K7" s="11" t="str">
        <x:v>TC-risk-assessment-vessel_id</x:v>
      </x:c>
      <x:c r="L7" s="11" t="str">
        <x:v>SOURCE_PRESENT_RUNTIME_NOT_IMPLEMENTED</x:v>
      </x:c>
    </x:row>
    <x:row r="8" ht="66" customHeight="1">
      <x:c r="A8" s="11" t="str">
        <x:v>SRC-03</x:v>
      </x:c>
      <x:c r="B8" s="11" t="str">
        <x:v>risk-assessment</x:v>
      </x:c>
      <x:c r="C8" s="11" t="str">
        <x:v>operation_context</x:v>
      </x:c>
      <x:c r="D8" s="11" t="str">
        <x:v>Operation / Work Context</x:v>
      </x:c>
      <x:c r="E8" s="11" t="str">
        <x:v>RiskAssessment</x:v>
      </x:c>
      <x:c r="F8" s="11" t="str">
        <x:v>{"widget":"input/text","semantic":"Reference"}</x:v>
      </x:c>
      <x:c r="G8" s="11" t="str">
        <x:v>{"mandatory":"Yes","default":"","options":""}</x:v>
      </x:c>
      <x:c r="H8" s="11" t="str">
        <x:v>Master/Tug Master; DPA/HSEQ; Control Owner; assigned crew; auditor read/verify as scoped</x:v>
      </x:c>
      <x:c r="I8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8" s="11" t="str">
        <x:v>FR-risk-assessment-operation_context</x:v>
      </x:c>
      <x:c r="K8" s="11" t="str">
        <x:v>TC-risk-assessment-operation_context</x:v>
      </x:c>
      <x:c r="L8" s="11" t="str">
        <x:v>SOURCE_PRESENT_RUNTIME_NOT_IMPLEMENTED</x:v>
      </x:c>
    </x:row>
    <x:row r="9" ht="66" customHeight="1">
      <x:c r="A9" s="11" t="str">
        <x:v>SRC-04</x:v>
      </x:c>
      <x:c r="B9" s="11" t="str">
        <x:v>risk-assessment</x:v>
      </x:c>
      <x:c r="C9" s="11" t="str">
        <x:v>template_id</x:v>
      </x:c>
      <x:c r="D9" s="11" t="str">
        <x:v>Template</x:v>
      </x:c>
      <x:c r="E9" s="11" t="str">
        <x:v>RiskAssessment</x:v>
      </x:c>
      <x:c r="F9" s="11" t="str">
        <x:v>{"widget":"input/text","semantic":"Reference"}</x:v>
      </x:c>
      <x:c r="G9" s="11" t="str">
        <x:v>{"mandatory":"Conditional","default":"","options":""}</x:v>
      </x:c>
      <x:c r="H9" s="11" t="str">
        <x:v>Master/Tug Master; DPA/HSEQ; Control Owner; assigned crew; auditor read/verify as scoped</x:v>
      </x:c>
      <x:c r="I9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9" s="11" t="str">
        <x:v>FR-risk-assessment-template_id</x:v>
      </x:c>
      <x:c r="K9" s="11" t="str">
        <x:v>TC-risk-assessment-template_id</x:v>
      </x:c>
      <x:c r="L9" s="11" t="str">
        <x:v>SOURCE_PRESENT_RUNTIME_NOT_IMPLEMENTED</x:v>
      </x:c>
    </x:row>
    <x:row r="10" ht="66" customHeight="1">
      <x:c r="A10" s="11" t="str">
        <x:v>SRC-05</x:v>
      </x:c>
      <x:c r="B10" s="11" t="str">
        <x:v>risk-assessment</x:v>
      </x:c>
      <x:c r="C10" s="11" t="str">
        <x:v>job_step</x:v>
      </x:c>
      <x:c r="D10" s="11" t="str">
        <x:v>Job Step</x:v>
      </x:c>
      <x:c r="E10" s="11" t="str">
        <x:v>RiskAssessment</x:v>
      </x:c>
      <x:c r="F10" s="11" t="str">
        <x:v>{"widget":"input/text","semantic":"Text"}</x:v>
      </x:c>
      <x:c r="G10" s="11" t="str">
        <x:v>{"mandatory":"Conditional","default":"","options":""}</x:v>
      </x:c>
      <x:c r="H10" s="11" t="str">
        <x:v>Master/Tug Master; DPA/HSEQ; Control Owner; assigned crew; auditor read/verify as scoped</x:v>
      </x:c>
      <x:c r="I10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0" s="11" t="str">
        <x:v>FR-risk-assessment-job_step</x:v>
      </x:c>
      <x:c r="K10" s="11" t="str">
        <x:v>TC-risk-assessment-job_step</x:v>
      </x:c>
      <x:c r="L10" s="11" t="str">
        <x:v>SOURCE_PRESENT_RUNTIME_NOT_IMPLEMENTED</x:v>
      </x:c>
    </x:row>
    <x:row r="11" ht="66" customHeight="1">
      <x:c r="A11" s="11" t="str">
        <x:v>SRC-06</x:v>
      </x:c>
      <x:c r="B11" s="11" t="str">
        <x:v>risk-assessment</x:v>
      </x:c>
      <x:c r="C11" s="11" t="str">
        <x:v>hazard</x:v>
      </x:c>
      <x:c r="D11" s="11" t="str">
        <x:v>Hazard</x:v>
      </x:c>
      <x:c r="E11" s="11" t="str">
        <x:v>RiskAssessment</x:v>
      </x:c>
      <x:c r="F11" s="11" t="str">
        <x:v>{"widget":"input/text","semantic":"Narrative"}</x:v>
      </x:c>
      <x:c r="G11" s="11" t="str">
        <x:v>{"mandatory":"Yes","default":"","options":""}</x:v>
      </x:c>
      <x:c r="H11" s="11" t="str">
        <x:v>Master/Tug Master; DPA/HSEQ; Control Owner; assigned crew; auditor read/verify as scoped</x:v>
      </x:c>
      <x:c r="I11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1" s="11" t="str">
        <x:v>FR-risk-assessment-hazard</x:v>
      </x:c>
      <x:c r="K11" s="11" t="str">
        <x:v>TC-risk-assessment-hazard</x:v>
      </x:c>
      <x:c r="L11" s="11" t="str">
        <x:v>SOURCE_PRESENT_RUNTIME_NOT_IMPLEMENTED</x:v>
      </x:c>
    </x:row>
    <x:row r="12" ht="66" customHeight="1">
      <x:c r="A12" s="11" t="str">
        <x:v>SRC-07</x:v>
      </x:c>
      <x:c r="B12" s="11" t="str">
        <x:v>risk-assessment</x:v>
      </x:c>
      <x:c r="C12" s="11" t="str">
        <x:v>consequence</x:v>
      </x:c>
      <x:c r="D12" s="11" t="str">
        <x:v>Potential Consequence</x:v>
      </x:c>
      <x:c r="E12" s="11" t="str">
        <x:v>RiskAssessment</x:v>
      </x:c>
      <x:c r="F12" s="11" t="str">
        <x:v>{"widget":"input/text","semantic":"Narrative"}</x:v>
      </x:c>
      <x:c r="G12" s="11" t="str">
        <x:v>{"mandatory":"Yes","default":"","options":""}</x:v>
      </x:c>
      <x:c r="H12" s="11" t="str">
        <x:v>Master/Tug Master; DPA/HSEQ; Control Owner; assigned crew; auditor read/verify as scoped</x:v>
      </x:c>
      <x:c r="I12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2" s="11" t="str">
        <x:v>FR-risk-assessment-consequence</x:v>
      </x:c>
      <x:c r="K12" s="11" t="str">
        <x:v>TC-risk-assessment-consequence</x:v>
      </x:c>
      <x:c r="L12" s="11" t="str">
        <x:v>SOURCE_PRESENT_RUNTIME_NOT_IMPLEMENTED</x:v>
      </x:c>
    </x:row>
    <x:row r="13" ht="66" customHeight="1">
      <x:c r="A13" s="11" t="str">
        <x:v>SRC-08</x:v>
      </x:c>
      <x:c r="B13" s="11" t="str">
        <x:v>risk-assessment</x:v>
      </x:c>
      <x:c r="C13" s="11" t="str">
        <x:v>initial_likelihood</x:v>
      </x:c>
      <x:c r="D13" s="11" t="str">
        <x:v>Initial Likelihood</x:v>
      </x:c>
      <x:c r="E13" s="11" t="str">
        <x:v>RiskAssessment</x:v>
      </x:c>
      <x:c r="F13" s="11" t="str">
        <x:v>{"widget":"input/text","semantic":"Numeric"}</x:v>
      </x:c>
      <x:c r="G13" s="11" t="str">
        <x:v>{"mandatory":"Yes","default":"","options":""}</x:v>
      </x:c>
      <x:c r="H13" s="11" t="str">
        <x:v>Master/Tug Master; DPA/HSEQ; Control Owner; assigned crew; auditor read/verify as scoped</x:v>
      </x:c>
      <x:c r="I13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3" s="11" t="str">
        <x:v>FR-risk-assessment-initial_likelihood</x:v>
      </x:c>
      <x:c r="K13" s="11" t="str">
        <x:v>TC-risk-assessment-initial_likelihood</x:v>
      </x:c>
      <x:c r="L13" s="11" t="str">
        <x:v>SOURCE_PRESENT_RUNTIME_NOT_IMPLEMENTED</x:v>
      </x:c>
    </x:row>
    <x:row r="14" ht="66" customHeight="1">
      <x:c r="A14" s="11" t="str">
        <x:v>SRC-09</x:v>
      </x:c>
      <x:c r="B14" s="11" t="str">
        <x:v>risk-assessment</x:v>
      </x:c>
      <x:c r="C14" s="11" t="str">
        <x:v>initial_severity</x:v>
      </x:c>
      <x:c r="D14" s="11" t="str">
        <x:v>Initial Severity</x:v>
      </x:c>
      <x:c r="E14" s="11" t="str">
        <x:v>RiskAssessment</x:v>
      </x:c>
      <x:c r="F14" s="11" t="str">
        <x:v>{"widget":"input/text","semantic":"Numeric"}</x:v>
      </x:c>
      <x:c r="G14" s="11" t="str">
        <x:v>{"mandatory":"Yes","default":"","options":""}</x:v>
      </x:c>
      <x:c r="H14" s="11" t="str">
        <x:v>Master/Tug Master; DPA/HSEQ; Control Owner; assigned crew; auditor read/verify as scoped</x:v>
      </x:c>
      <x:c r="I14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4" s="11" t="str">
        <x:v>FR-risk-assessment-initial_severity</x:v>
      </x:c>
      <x:c r="K14" s="11" t="str">
        <x:v>TC-risk-assessment-initial_severity</x:v>
      </x:c>
      <x:c r="L14" s="11" t="str">
        <x:v>SOURCE_PRESENT_RUNTIME_NOT_IMPLEMENTED</x:v>
      </x:c>
    </x:row>
    <x:row r="15" ht="66" customHeight="1">
      <x:c r="A15" s="11" t="str">
        <x:v>SRC-10</x:v>
      </x:c>
      <x:c r="B15" s="11" t="str">
        <x:v>risk-assessment</x:v>
      </x:c>
      <x:c r="C15" s="11" t="str">
        <x:v>initial_risk</x:v>
      </x:c>
      <x:c r="D15" s="11" t="str">
        <x:v>Initial Risk</x:v>
      </x:c>
      <x:c r="E15" s="11" t="str">
        <x:v>RiskAssessment</x:v>
      </x:c>
      <x:c r="F15" s="11" t="str">
        <x:v>{"widget":"input/text","semantic":"Numeric"}</x:v>
      </x:c>
      <x:c r="G15" s="11" t="str">
        <x:v>{"mandatory":"Yes","default":"","options":""}</x:v>
      </x:c>
      <x:c r="H15" s="11" t="str">
        <x:v>Master/Tug Master; DPA/HSEQ; Control Owner; assigned crew; auditor read/verify as scoped</x:v>
      </x:c>
      <x:c r="I15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5" s="11" t="str">
        <x:v>FR-risk-assessment-initial_risk</x:v>
      </x:c>
      <x:c r="K15" s="11" t="str">
        <x:v>TC-risk-assessment-initial_risk</x:v>
      </x:c>
      <x:c r="L15" s="11" t="str">
        <x:v>SOURCE_PRESENT_RUNTIME_NOT_IMPLEMENTED</x:v>
      </x:c>
    </x:row>
    <x:row r="16" ht="66" customHeight="1">
      <x:c r="A16" s="11" t="str">
        <x:v>SRC-11</x:v>
      </x:c>
      <x:c r="B16" s="11" t="str">
        <x:v>risk-assessment</x:v>
      </x:c>
      <x:c r="C16" s="11" t="str">
        <x:v>control_measures</x:v>
      </x:c>
      <x:c r="D16" s="11" t="str">
        <x:v>Control Measures</x:v>
      </x:c>
      <x:c r="E16" s="11" t="str">
        <x:v>RiskAssessment</x:v>
      </x:c>
      <x:c r="F16" s="11" t="str">
        <x:v>{"widget":"input/text","semantic":"Narrative"}</x:v>
      </x:c>
      <x:c r="G16" s="11" t="str">
        <x:v>{"mandatory":"Yes","default":"","options":""}</x:v>
      </x:c>
      <x:c r="H16" s="11" t="str">
        <x:v>Master/Tug Master; DPA/HSEQ; Control Owner; assigned crew; auditor read/verify as scoped</x:v>
      </x:c>
      <x:c r="I16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6" s="11" t="str">
        <x:v>FR-risk-assessment-control_measures</x:v>
      </x:c>
      <x:c r="K16" s="11" t="str">
        <x:v>TC-risk-assessment-control_measures</x:v>
      </x:c>
      <x:c r="L16" s="11" t="str">
        <x:v>SOURCE_PRESENT_RUNTIME_NOT_IMPLEMENTED</x:v>
      </x:c>
    </x:row>
    <x:row r="17" ht="66" customHeight="1">
      <x:c r="A17" s="11" t="str">
        <x:v>SRC-12</x:v>
      </x:c>
      <x:c r="B17" s="11" t="str">
        <x:v>risk-assessment</x:v>
      </x:c>
      <x:c r="C17" s="11" t="str">
        <x:v>control_owner</x:v>
      </x:c>
      <x:c r="D17" s="11" t="str">
        <x:v>Control Owner</x:v>
      </x:c>
      <x:c r="E17" s="11" t="str">
        <x:v>RiskAssessment</x:v>
      </x:c>
      <x:c r="F17" s="11" t="str">
        <x:v>{"widget":"input/text","semantic":"Reference"}</x:v>
      </x:c>
      <x:c r="G17" s="11" t="str">
        <x:v>{"mandatory":"Yes","default":"","options":""}</x:v>
      </x:c>
      <x:c r="H17" s="11" t="str">
        <x:v>Master/Tug Master; DPA/HSEQ; Control Owner; assigned crew; auditor read/verify as scoped</x:v>
      </x:c>
      <x:c r="I17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7" s="11" t="str">
        <x:v>FR-risk-assessment-control_owner</x:v>
      </x:c>
      <x:c r="K17" s="11" t="str">
        <x:v>TC-risk-assessment-control_owner</x:v>
      </x:c>
      <x:c r="L17" s="11" t="str">
        <x:v>SOURCE_PRESENT_RUNTIME_NOT_IMPLEMENTED</x:v>
      </x:c>
    </x:row>
    <x:row r="18" ht="66" customHeight="1">
      <x:c r="A18" s="11" t="str">
        <x:v>SRC-13</x:v>
      </x:c>
      <x:c r="B18" s="11" t="str">
        <x:v>risk-assessment</x:v>
      </x:c>
      <x:c r="C18" s="11" t="str">
        <x:v>barrier_refs</x:v>
      </x:c>
      <x:c r="D18" s="11" t="str">
        <x:v>Barrier References</x:v>
      </x:c>
      <x:c r="E18" s="11" t="str">
        <x:v>RiskAssessment</x:v>
      </x:c>
      <x:c r="F18" s="11" t="str">
        <x:v>{"widget":"input/text","semantic":"Reference"}</x:v>
      </x:c>
      <x:c r="G18" s="11" t="str">
        <x:v>{"mandatory":"Conditional","default":"","options":""}</x:v>
      </x:c>
      <x:c r="H18" s="11" t="str">
        <x:v>Master/Tug Master; DPA/HSEQ; Control Owner; assigned crew; auditor read/verify as scoped</x:v>
      </x:c>
      <x:c r="I18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8" s="11" t="str">
        <x:v>FR-risk-assessment-barrier_refs</x:v>
      </x:c>
      <x:c r="K18" s="11" t="str">
        <x:v>TC-risk-assessment-barrier_refs</x:v>
      </x:c>
      <x:c r="L18" s="11" t="str">
        <x:v>SOURCE_PRESENT_RUNTIME_NOT_IMPLEMENTED</x:v>
      </x:c>
    </x:row>
    <x:row r="19" ht="66" customHeight="1">
      <x:c r="A19" s="11" t="str">
        <x:v>SRC-14</x:v>
      </x:c>
      <x:c r="B19" s="11" t="str">
        <x:v>risk-assessment</x:v>
      </x:c>
      <x:c r="C19" s="11" t="str">
        <x:v>residual_likelihood</x:v>
      </x:c>
      <x:c r="D19" s="11" t="str">
        <x:v>Residual Likelihood</x:v>
      </x:c>
      <x:c r="E19" s="11" t="str">
        <x:v>RiskAssessment</x:v>
      </x:c>
      <x:c r="F19" s="11" t="str">
        <x:v>{"widget":"input/text","semantic":"Numeric"}</x:v>
      </x:c>
      <x:c r="G19" s="11" t="str">
        <x:v>{"mandatory":"Yes","default":"","options":""}</x:v>
      </x:c>
      <x:c r="H19" s="11" t="str">
        <x:v>Master/Tug Master; DPA/HSEQ; Control Owner; assigned crew; auditor read/verify as scoped</x:v>
      </x:c>
      <x:c r="I19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19" s="11" t="str">
        <x:v>FR-risk-assessment-residual_likelihood</x:v>
      </x:c>
      <x:c r="K19" s="11" t="str">
        <x:v>TC-risk-assessment-residual_likelihood</x:v>
      </x:c>
      <x:c r="L19" s="11" t="str">
        <x:v>SOURCE_PRESENT_RUNTIME_NOT_IMPLEMENTED</x:v>
      </x:c>
    </x:row>
    <x:row r="20" ht="66" customHeight="1">
      <x:c r="A20" s="11" t="str">
        <x:v>SRC-15</x:v>
      </x:c>
      <x:c r="B20" s="11" t="str">
        <x:v>risk-assessment</x:v>
      </x:c>
      <x:c r="C20" s="11" t="str">
        <x:v>residual_severity</x:v>
      </x:c>
      <x:c r="D20" s="11" t="str">
        <x:v>Residual Severity</x:v>
      </x:c>
      <x:c r="E20" s="11" t="str">
        <x:v>RiskAssessment</x:v>
      </x:c>
      <x:c r="F20" s="11" t="str">
        <x:v>{"widget":"input/text","semantic":"Numeric"}</x:v>
      </x:c>
      <x:c r="G20" s="11" t="str">
        <x:v>{"mandatory":"Yes","default":"","options":""}</x:v>
      </x:c>
      <x:c r="H20" s="11" t="str">
        <x:v>Master/Tug Master; DPA/HSEQ; Control Owner; assigned crew; auditor read/verify as scoped</x:v>
      </x:c>
      <x:c r="I20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0" s="11" t="str">
        <x:v>FR-risk-assessment-residual_severity</x:v>
      </x:c>
      <x:c r="K20" s="11" t="str">
        <x:v>TC-risk-assessment-residual_severity</x:v>
      </x:c>
      <x:c r="L20" s="11" t="str">
        <x:v>SOURCE_PRESENT_RUNTIME_NOT_IMPLEMENTED</x:v>
      </x:c>
    </x:row>
    <x:row r="21" ht="66" customHeight="1">
      <x:c r="A21" s="11" t="str">
        <x:v>SRC-16</x:v>
      </x:c>
      <x:c r="B21" s="11" t="str">
        <x:v>risk-assessment</x:v>
      </x:c>
      <x:c r="C21" s="11" t="str">
        <x:v>residual_risk</x:v>
      </x:c>
      <x:c r="D21" s="11" t="str">
        <x:v>Residual Risk</x:v>
      </x:c>
      <x:c r="E21" s="11" t="str">
        <x:v>RiskAssessment</x:v>
      </x:c>
      <x:c r="F21" s="11" t="str">
        <x:v>{"widget":"input/text","semantic":"Numeric"}</x:v>
      </x:c>
      <x:c r="G21" s="11" t="str">
        <x:v>{"mandatory":"Yes","default":"","options":""}</x:v>
      </x:c>
      <x:c r="H21" s="11" t="str">
        <x:v>Master/Tug Master; DPA/HSEQ; Control Owner; assigned crew; auditor read/verify as scoped</x:v>
      </x:c>
      <x:c r="I21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1" s="11" t="str">
        <x:v>FR-risk-assessment-residual_risk</x:v>
      </x:c>
      <x:c r="K21" s="11" t="str">
        <x:v>TC-risk-assessment-residual_risk</x:v>
      </x:c>
      <x:c r="L21" s="11" t="str">
        <x:v>SOURCE_PRESENT_RUNTIME_NOT_IMPLEMENTED</x:v>
      </x:c>
    </x:row>
    <x:row r="22" ht="66" customHeight="1">
      <x:c r="A22" s="11" t="str">
        <x:v>SRC-17</x:v>
      </x:c>
      <x:c r="B22" s="11" t="str">
        <x:v>risk-assessment</x:v>
      </x:c>
      <x:c r="C22" s="11" t="str">
        <x:v>stop_work_conditions</x:v>
      </x:c>
      <x:c r="D22" s="11" t="str">
        <x:v>Stop Work Conditions</x:v>
      </x:c>
      <x:c r="E22" s="11" t="str">
        <x:v>RiskAssessment</x:v>
      </x:c>
      <x:c r="F22" s="11" t="str">
        <x:v>{"widget":"input/text","semantic":"Narrative"}</x:v>
      </x:c>
      <x:c r="G22" s="11" t="str">
        <x:v>{"mandatory":"Conditional","default":"","options":""}</x:v>
      </x:c>
      <x:c r="H22" s="11" t="str">
        <x:v>Master/Tug Master; DPA/HSEQ; Control Owner; assigned crew; auditor read/verify as scoped</x:v>
      </x:c>
      <x:c r="I22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2" s="11" t="str">
        <x:v>FR-risk-assessment-stop_work_conditions</x:v>
      </x:c>
      <x:c r="K22" s="11" t="str">
        <x:v>TC-risk-assessment-stop_work_conditions</x:v>
      </x:c>
      <x:c r="L22" s="11" t="str">
        <x:v>SOURCE_PRESENT_RUNTIME_NOT_IMPLEMENTED</x:v>
      </x:c>
    </x:row>
    <x:row r="23" ht="66" customHeight="1">
      <x:c r="A23" s="11" t="str">
        <x:v>SRC-18</x:v>
      </x:c>
      <x:c r="B23" s="11" t="str">
        <x:v>risk-assessment</x:v>
      </x:c>
      <x:c r="C23" s="11" t="str">
        <x:v>approval_state</x:v>
      </x:c>
      <x:c r="D23" s="11" t="str">
        <x:v>Approval State</x:v>
      </x:c>
      <x:c r="E23" s="11" t="str">
        <x:v>RiskAssessment</x:v>
      </x:c>
      <x:c r="F23" s="11" t="str">
        <x:v>{"widget":"select/select","semantic":"State"}</x:v>
      </x:c>
      <x:c r="G23" s="11" t="str">
        <x:v>{"mandatory":"Yes","default":"","options":"DRAFT; REVIEW; APPROVED; REJECTED"}</x:v>
      </x:c>
      <x:c r="H23" s="11" t="str">
        <x:v>Master/Tug Master; DPA/HSEQ; Control Owner; assigned crew; auditor read/verify as scoped</x:v>
      </x:c>
      <x:c r="I23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3" s="11" t="str">
        <x:v>FR-risk-assessment-approval_state</x:v>
      </x:c>
      <x:c r="K23" s="11" t="str">
        <x:v>TC-risk-assessment-approval_state</x:v>
      </x:c>
      <x:c r="L23" s="11" t="str">
        <x:v>SOURCE_PRESENT_RUNTIME_NOT_IMPLEMENTED</x:v>
      </x:c>
    </x:row>
    <x:row r="24" ht="66" customHeight="1">
      <x:c r="A24" s="11" t="str">
        <x:v>SRC-19</x:v>
      </x:c>
      <x:c r="B24" s="11" t="str">
        <x:v>risk-assessment</x:v>
      </x:c>
      <x:c r="C24" s="11" t="str">
        <x:v>participant_ack</x:v>
      </x:c>
      <x:c r="D24" s="11" t="str">
        <x:v>Participant Acknowledgement</x:v>
      </x:c>
      <x:c r="E24" s="11" t="str">
        <x:v>RiskAssessment</x:v>
      </x:c>
      <x:c r="F24" s="11" t="str">
        <x:v>{"widget":"select/select","semantic":"State"}</x:v>
      </x:c>
      <x:c r="G24" s="11" t="str">
        <x:v>{"mandatory":"Conditional","default":"","options":"PENDING; COMPLETE"}</x:v>
      </x:c>
      <x:c r="H24" s="11" t="str">
        <x:v>Master/Tug Master; DPA/HSEQ; Control Owner; assigned crew; auditor read/verify as scoped</x:v>
      </x:c>
      <x:c r="I24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4" s="11" t="str">
        <x:v>FR-risk-assessment-participant_ack</x:v>
      </x:c>
      <x:c r="K24" s="11" t="str">
        <x:v>TC-risk-assessment-participant_ack</x:v>
      </x:c>
      <x:c r="L24" s="11" t="str">
        <x:v>SOURCE_PRESENT_RUNTIME_NOT_IMPLEMENTED</x:v>
      </x:c>
    </x:row>
    <x:row r="25" ht="66" customHeight="1">
      <x:c r="A25" s="11" t="str">
        <x:v>SRC-20</x:v>
      </x:c>
      <x:c r="B25" s="11" t="str">
        <x:v>risk-assessment</x:v>
      </x:c>
      <x:c r="C25" s="11" t="str">
        <x:v>evidence_ref</x:v>
      </x:c>
      <x:c r="D25" s="11" t="str">
        <x:v>Evidence / Attachment</x:v>
      </x:c>
      <x:c r="E25" s="11" t="str">
        <x:v>RiskAssessment</x:v>
      </x:c>
      <x:c r="F25" s="11" t="str">
        <x:v>{"widget":"input/text","semantic":"Reference"}</x:v>
      </x:c>
      <x:c r="G25" s="11" t="str">
        <x:v>{"mandatory":"Conditional","default":"","options":""}</x:v>
      </x:c>
      <x:c r="H25" s="11" t="str">
        <x:v>Master/Tug Master; DPA/HSEQ; Control Owner; assigned crew; auditor read/verify as scoped</x:v>
      </x:c>
      <x:c r="I25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5" s="11" t="str">
        <x:v>FR-risk-assessment-evidence_ref</x:v>
      </x:c>
      <x:c r="K25" s="11" t="str">
        <x:v>TC-risk-assessment-evidence_ref</x:v>
      </x:c>
      <x:c r="L25" s="11" t="str">
        <x:v>SOURCE_PRESENT_RUNTIME_NOT_IMPLEMENTED</x:v>
      </x:c>
    </x:row>
    <x:row r="26" ht="66" customHeight="1">
      <x:c r="A26" s="11" t="str">
        <x:v>SRC-21</x:v>
      </x:c>
      <x:c r="B26" s="11" t="str">
        <x:v>risk-template-library</x:v>
      </x:c>
      <x:c r="C26" s="11" t="str">
        <x:v>template_id</x:v>
      </x:c>
      <x:c r="D26" s="11" t="str">
        <x:v>Template ID</x:v>
      </x:c>
      <x:c r="E26" s="11" t="str">
        <x:v>RiskTemplate</x:v>
      </x:c>
      <x:c r="F26" s="11" t="str">
        <x:v>{"widget":"input/text","semantic":"Text"}</x:v>
      </x:c>
      <x:c r="G26" s="11" t="str">
        <x:v>{"mandatory":"Yes","default":"","options":""}</x:v>
      </x:c>
      <x:c r="H26" s="11" t="str">
        <x:v>Master/Tug Master; DPA/HSEQ; Control Owner; assigned crew; auditor read/verify as scoped</x:v>
      </x:c>
      <x:c r="I26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6" s="11" t="str">
        <x:v>FR-risk-template-library-template_id</x:v>
      </x:c>
      <x:c r="K26" s="11" t="str">
        <x:v>TC-risk-template-library-template_id</x:v>
      </x:c>
      <x:c r="L26" s="11" t="str">
        <x:v>SOURCE_PRESENT_RUNTIME_NOT_IMPLEMENTED</x:v>
      </x:c>
    </x:row>
    <x:row r="27" ht="66" customHeight="1">
      <x:c r="A27" s="11" t="str">
        <x:v>SRC-22</x:v>
      </x:c>
      <x:c r="B27" s="11" t="str">
        <x:v>risk-template-library</x:v>
      </x:c>
      <x:c r="C27" s="11" t="str">
        <x:v>template_name</x:v>
      </x:c>
      <x:c r="D27" s="11" t="str">
        <x:v>Template Name</x:v>
      </x:c>
      <x:c r="E27" s="11" t="str">
        <x:v>RiskTemplate</x:v>
      </x:c>
      <x:c r="F27" s="11" t="str">
        <x:v>{"widget":"input/text","semantic":"Text"}</x:v>
      </x:c>
      <x:c r="G27" s="11" t="str">
        <x:v>{"mandatory":"Yes","default":"","options":""}</x:v>
      </x:c>
      <x:c r="H27" s="11" t="str">
        <x:v>Master/Tug Master; DPA/HSEQ; Control Owner; assigned crew; auditor read/verify as scoped</x:v>
      </x:c>
      <x:c r="I27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7" s="11" t="str">
        <x:v>FR-risk-template-library-template_name</x:v>
      </x:c>
      <x:c r="K27" s="11" t="str">
        <x:v>TC-risk-template-library-template_name</x:v>
      </x:c>
      <x:c r="L27" s="11" t="str">
        <x:v>SOURCE_PRESENT_RUNTIME_NOT_IMPLEMENTED</x:v>
      </x:c>
    </x:row>
    <x:row r="28" ht="66" customHeight="1">
      <x:c r="A28" s="11" t="str">
        <x:v>SRC-23</x:v>
      </x:c>
      <x:c r="B28" s="11" t="str">
        <x:v>risk-template-library</x:v>
      </x:c>
      <x:c r="C28" s="11" t="str">
        <x:v>work_type</x:v>
      </x:c>
      <x:c r="D28" s="11" t="str">
        <x:v>Work / Operation Type</x:v>
      </x:c>
      <x:c r="E28" s="11" t="str">
        <x:v>RiskTemplate</x:v>
      </x:c>
      <x:c r="F28" s="11" t="str">
        <x:v>{"widget":"select/select","semantic":"Enum"}</x:v>
      </x:c>
      <x:c r="G28" s="11" t="str">
        <x:v>{"mandatory":"Yes","default":"","options":"Maintenance; Hot Work; Enclosed Space; Bunkering; Cargo; Navigation; Towage; Other"}</x:v>
      </x:c>
      <x:c r="H28" s="11" t="str">
        <x:v>Master/Tug Master; DPA/HSEQ; Control Owner; assigned crew; auditor read/verify as scoped</x:v>
      </x:c>
      <x:c r="I28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8" s="11" t="str">
        <x:v>FR-risk-template-library-work_type</x:v>
      </x:c>
      <x:c r="K28" s="11" t="str">
        <x:v>TC-risk-template-library-work_type</x:v>
      </x:c>
      <x:c r="L28" s="11" t="str">
        <x:v>SOURCE_PRESENT_RUNTIME_NOT_IMPLEMENTED</x:v>
      </x:c>
    </x:row>
    <x:row r="29" ht="66" customHeight="1">
      <x:c r="A29" s="11" t="str">
        <x:v>SRC-24</x:v>
      </x:c>
      <x:c r="B29" s="11" t="str">
        <x:v>risk-template-library</x:v>
      </x:c>
      <x:c r="C29" s="11" t="str">
        <x:v>vessel_type_scope</x:v>
      </x:c>
      <x:c r="D29" s="11" t="str">
        <x:v>Vessel / Tug Scope</x:v>
      </x:c>
      <x:c r="E29" s="11" t="str">
        <x:v>RiskTemplate</x:v>
      </x:c>
      <x:c r="F29" s="11" t="str">
        <x:v>{"widget":"input/text","semantic":"Text"}</x:v>
      </x:c>
      <x:c r="G29" s="11" t="str">
        <x:v>{"mandatory":"Conditional","default":"","options":""}</x:v>
      </x:c>
      <x:c r="H29" s="11" t="str">
        <x:v>Master/Tug Master; DPA/HSEQ; Control Owner; assigned crew; auditor read/verify as scoped</x:v>
      </x:c>
      <x:c r="I29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29" s="11" t="str">
        <x:v>FR-risk-template-library-vessel_type_scope</x:v>
      </x:c>
      <x:c r="K29" s="11" t="str">
        <x:v>TC-risk-template-library-vessel_type_scope</x:v>
      </x:c>
      <x:c r="L29" s="11" t="str">
        <x:v>SOURCE_PRESENT_RUNTIME_NOT_IMPLEMENTED</x:v>
      </x:c>
    </x:row>
    <x:row r="30" ht="66" customHeight="1">
      <x:c r="A30" s="11" t="str">
        <x:v>SRC-25</x:v>
      </x:c>
      <x:c r="B30" s="11" t="str">
        <x:v>risk-template-library</x:v>
      </x:c>
      <x:c r="C30" s="11" t="str">
        <x:v>revision</x:v>
      </x:c>
      <x:c r="D30" s="11" t="str">
        <x:v>Revision</x:v>
      </x:c>
      <x:c r="E30" s="11" t="str">
        <x:v>RiskTemplate</x:v>
      </x:c>
      <x:c r="F30" s="11" t="str">
        <x:v>{"widget":"input/text","semantic":"Text"}</x:v>
      </x:c>
      <x:c r="G30" s="11" t="str">
        <x:v>{"mandatory":"Yes","default":"","options":""}</x:v>
      </x:c>
      <x:c r="H30" s="11" t="str">
        <x:v>Master/Tug Master; DPA/HSEQ; Control Owner; assigned crew; auditor read/verify as scoped</x:v>
      </x:c>
      <x:c r="I30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0" s="11" t="str">
        <x:v>FR-risk-template-library-revision</x:v>
      </x:c>
      <x:c r="K30" s="11" t="str">
        <x:v>TC-risk-template-library-revision</x:v>
      </x:c>
      <x:c r="L30" s="11" t="str">
        <x:v>SOURCE_PRESENT_RUNTIME_NOT_IMPLEMENTED</x:v>
      </x:c>
    </x:row>
    <x:row r="31" ht="66" customHeight="1">
      <x:c r="A31" s="11" t="str">
        <x:v>SRC-26</x:v>
      </x:c>
      <x:c r="B31" s="11" t="str">
        <x:v>risk-template-library</x:v>
      </x:c>
      <x:c r="C31" s="11" t="str">
        <x:v>effective_from</x:v>
      </x:c>
      <x:c r="D31" s="11" t="str">
        <x:v>Effective From</x:v>
      </x:c>
      <x:c r="E31" s="11" t="str">
        <x:v>RiskTemplate</x:v>
      </x:c>
      <x:c r="F31" s="11" t="str">
        <x:v>{"widget":"input/text","semantic":"Date/Time"}</x:v>
      </x:c>
      <x:c r="G31" s="11" t="str">
        <x:v>{"mandatory":"Yes","default":"","options":""}</x:v>
      </x:c>
      <x:c r="H31" s="11" t="str">
        <x:v>Master/Tug Master; DPA/HSEQ; Control Owner; assigned crew; auditor read/verify as scoped</x:v>
      </x:c>
      <x:c r="I31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1" s="11" t="str">
        <x:v>FR-risk-template-library-effective_from</x:v>
      </x:c>
      <x:c r="K31" s="11" t="str">
        <x:v>TC-risk-template-library-effective_from</x:v>
      </x:c>
      <x:c r="L31" s="11" t="str">
        <x:v>SOURCE_PRESENT_RUNTIME_NOT_IMPLEMENTED</x:v>
      </x:c>
    </x:row>
    <x:row r="32" ht="66" customHeight="1">
      <x:c r="A32" s="11" t="str">
        <x:v>SRC-27</x:v>
      </x:c>
      <x:c r="B32" s="11" t="str">
        <x:v>risk-template-library</x:v>
      </x:c>
      <x:c r="C32" s="11" t="str">
        <x:v>hazard_set</x:v>
      </x:c>
      <x:c r="D32" s="11" t="str">
        <x:v>Hazard Set</x:v>
      </x:c>
      <x:c r="E32" s="11" t="str">
        <x:v>RiskTemplate</x:v>
      </x:c>
      <x:c r="F32" s="11" t="str">
        <x:v>{"widget":"input/text","semantic":"Narrative"}</x:v>
      </x:c>
      <x:c r="G32" s="11" t="str">
        <x:v>{"mandatory":"Yes","default":"","options":""}</x:v>
      </x:c>
      <x:c r="H32" s="11" t="str">
        <x:v>Master/Tug Master; DPA/HSEQ; Control Owner; assigned crew; auditor read/verify as scoped</x:v>
      </x:c>
      <x:c r="I32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2" s="11" t="str">
        <x:v>FR-risk-template-library-hazard_set</x:v>
      </x:c>
      <x:c r="K32" s="11" t="str">
        <x:v>TC-risk-template-library-hazard_set</x:v>
      </x:c>
      <x:c r="L32" s="11" t="str">
        <x:v>SOURCE_PRESENT_RUNTIME_NOT_IMPLEMENTED</x:v>
      </x:c>
    </x:row>
    <x:row r="33" ht="66" customHeight="1">
      <x:c r="A33" s="11" t="str">
        <x:v>SRC-28</x:v>
      </x:c>
      <x:c r="B33" s="11" t="str">
        <x:v>risk-template-library</x:v>
      </x:c>
      <x:c r="C33" s="11" t="str">
        <x:v>default_controls</x:v>
      </x:c>
      <x:c r="D33" s="11" t="str">
        <x:v>Default Controls</x:v>
      </x:c>
      <x:c r="E33" s="11" t="str">
        <x:v>RiskTemplate</x:v>
      </x:c>
      <x:c r="F33" s="11" t="str">
        <x:v>{"widget":"input/text","semantic":"Narrative"}</x:v>
      </x:c>
      <x:c r="G33" s="11" t="str">
        <x:v>{"mandatory":"Yes","default":"","options":""}</x:v>
      </x:c>
      <x:c r="H33" s="11" t="str">
        <x:v>Master/Tug Master; DPA/HSEQ; Control Owner; assigned crew; auditor read/verify as scoped</x:v>
      </x:c>
      <x:c r="I33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3" s="11" t="str">
        <x:v>FR-risk-template-library-default_controls</x:v>
      </x:c>
      <x:c r="K33" s="11" t="str">
        <x:v>TC-risk-template-library-default_controls</x:v>
      </x:c>
      <x:c r="L33" s="11" t="str">
        <x:v>SOURCE_PRESENT_RUNTIME_NOT_IMPLEMENTED</x:v>
      </x:c>
    </x:row>
    <x:row r="34" ht="66" customHeight="1">
      <x:c r="A34" s="11" t="str">
        <x:v>SRC-29</x:v>
      </x:c>
      <x:c r="B34" s="11" t="str">
        <x:v>risk-template-library</x:v>
      </x:c>
      <x:c r="C34" s="11" t="str">
        <x:v>required_barriers</x:v>
      </x:c>
      <x:c r="D34" s="11" t="str">
        <x:v>Required Barriers</x:v>
      </x:c>
      <x:c r="E34" s="11" t="str">
        <x:v>RiskTemplate</x:v>
      </x:c>
      <x:c r="F34" s="11" t="str">
        <x:v>{"widget":"input/text","semantic":"Reference"}</x:v>
      </x:c>
      <x:c r="G34" s="11" t="str">
        <x:v>{"mandatory":"Conditional","default":"","options":""}</x:v>
      </x:c>
      <x:c r="H34" s="11" t="str">
        <x:v>Master/Tug Master; DPA/HSEQ; Control Owner; assigned crew; auditor read/verify as scoped</x:v>
      </x:c>
      <x:c r="I34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4" s="11" t="str">
        <x:v>FR-risk-template-library-required_barriers</x:v>
      </x:c>
      <x:c r="K34" s="11" t="str">
        <x:v>TC-risk-template-library-required_barriers</x:v>
      </x:c>
      <x:c r="L34" s="11" t="str">
        <x:v>SOURCE_PRESENT_RUNTIME_NOT_IMPLEMENTED</x:v>
      </x:c>
    </x:row>
    <x:row r="35" ht="66" customHeight="1">
      <x:c r="A35" s="11" t="str">
        <x:v>SRC-30</x:v>
      </x:c>
      <x:c r="B35" s="11" t="str">
        <x:v>risk-template-library</x:v>
      </x:c>
      <x:c r="C35" s="11" t="str">
        <x:v>approval_owner</x:v>
      </x:c>
      <x:c r="D35" s="11" t="str">
        <x:v>Approval Owner</x:v>
      </x:c>
      <x:c r="E35" s="11" t="str">
        <x:v>RiskTemplate</x:v>
      </x:c>
      <x:c r="F35" s="11" t="str">
        <x:v>{"widget":"input/text","semantic":"Reference"}</x:v>
      </x:c>
      <x:c r="G35" s="11" t="str">
        <x:v>{"mandatory":"Yes","default":"","options":""}</x:v>
      </x:c>
      <x:c r="H35" s="11" t="str">
        <x:v>Master/Tug Master; DPA/HSEQ; Control Owner; assigned crew; auditor read/verify as scoped</x:v>
      </x:c>
      <x:c r="I35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5" s="11" t="str">
        <x:v>FR-risk-template-library-approval_owner</x:v>
      </x:c>
      <x:c r="K35" s="11" t="str">
        <x:v>TC-risk-template-library-approval_owner</x:v>
      </x:c>
      <x:c r="L35" s="11" t="str">
        <x:v>SOURCE_PRESENT_RUNTIME_NOT_IMPLEMENTED</x:v>
      </x:c>
    </x:row>
    <x:row r="36" ht="66" customHeight="1">
      <x:c r="A36" s="11" t="str">
        <x:v>SRC-31</x:v>
      </x:c>
      <x:c r="B36" s="11" t="str">
        <x:v>risk-template-library</x:v>
      </x:c>
      <x:c r="C36" s="11" t="str">
        <x:v>status</x:v>
      </x:c>
      <x:c r="D36" s="11" t="str">
        <x:v>Status</x:v>
      </x:c>
      <x:c r="E36" s="11" t="str">
        <x:v>RiskTemplate</x:v>
      </x:c>
      <x:c r="F36" s="11" t="str">
        <x:v>{"widget":"select/select","semantic":"State"}</x:v>
      </x:c>
      <x:c r="G36" s="11" t="str">
        <x:v>{"mandatory":"Yes","default":"","options":"DRAFT; IN_REVIEW; PUBLISHED; SUPERSEDED"}</x:v>
      </x:c>
      <x:c r="H36" s="11" t="str">
        <x:v>Master/Tug Master; DPA/HSEQ; Control Owner; assigned crew; auditor read/verify as scoped</x:v>
      </x:c>
      <x:c r="I36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6" s="11" t="str">
        <x:v>FR-risk-template-library-status</x:v>
      </x:c>
      <x:c r="K36" s="11" t="str">
        <x:v>TC-risk-template-library-status</x:v>
      </x:c>
      <x:c r="L36" s="11" t="str">
        <x:v>SOURCE_PRESENT_RUNTIME_NOT_IMPLEMENTED</x:v>
      </x:c>
    </x:row>
    <x:row r="37" ht="66" customHeight="1">
      <x:c r="A37" s="11" t="str">
        <x:v>SRC-32</x:v>
      </x:c>
      <x:c r="B37" s="11" t="str">
        <x:v>risk-template-library</x:v>
      </x:c>
      <x:c r="C37" s="11" t="str">
        <x:v>crew_suggestion_count</x:v>
      </x:c>
      <x:c r="D37" s="11" t="str">
        <x:v>Crew Suggestions</x:v>
      </x:c>
      <x:c r="E37" s="11" t="str">
        <x:v>RiskTemplate</x:v>
      </x:c>
      <x:c r="F37" s="11" t="str">
        <x:v>{"widget":"input/text","semantic":"Numeric"}</x:v>
      </x:c>
      <x:c r="G37" s="11" t="str">
        <x:v>{"mandatory":"Conditional","default":"","options":""}</x:v>
      </x:c>
      <x:c r="H37" s="11" t="str">
        <x:v>Master/Tug Master; DPA/HSEQ; Control Owner; assigned crew; auditor read/verify as scoped</x:v>
      </x:c>
      <x:c r="I37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7" s="11" t="str">
        <x:v>FR-risk-template-library-crew_suggestion_count</x:v>
      </x:c>
      <x:c r="K37" s="11" t="str">
        <x:v>TC-risk-template-library-crew_suggestion_count</x:v>
      </x:c>
      <x:c r="L37" s="11" t="str">
        <x:v>SOURCE_PRESENT_RUNTIME_NOT_IMPLEMENTED</x:v>
      </x:c>
    </x:row>
    <x:row r="38" ht="66" customHeight="1">
      <x:c r="A38" s="11" t="str">
        <x:v>SRC-33</x:v>
      </x:c>
      <x:c r="B38" s="11" t="str">
        <x:v>risk-template-library</x:v>
      </x:c>
      <x:c r="C38" s="11" t="str">
        <x:v>change_reason</x:v>
      </x:c>
      <x:c r="D38" s="11" t="str">
        <x:v>Change Reason</x:v>
      </x:c>
      <x:c r="E38" s="11" t="str">
        <x:v>RiskTemplate</x:v>
      </x:c>
      <x:c r="F38" s="11" t="str">
        <x:v>{"widget":"input/text","semantic":"Narrative"}</x:v>
      </x:c>
      <x:c r="G38" s="11" t="str">
        <x:v>{"mandatory":"Conditional","default":"","options":""}</x:v>
      </x:c>
      <x:c r="H38" s="11" t="str">
        <x:v>Master/Tug Master; DPA/HSEQ; Control Owner; assigned crew; auditor read/verify as scoped</x:v>
      </x:c>
      <x:c r="I38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8" s="11" t="str">
        <x:v>FR-risk-template-library-change_reason</x:v>
      </x:c>
      <x:c r="K38" s="11" t="str">
        <x:v>TC-risk-template-library-change_reason</x:v>
      </x:c>
      <x:c r="L38" s="11" t="str">
        <x:v>SOURCE_PRESENT_RUNTIME_NOT_IMPLEMENTED</x:v>
      </x:c>
    </x:row>
    <x:row r="39" ht="66" customHeight="1">
      <x:c r="A39" s="11" t="str">
        <x:v>SRC-34</x:v>
      </x:c>
      <x:c r="B39" s="11" t="str">
        <x:v>risk-template-library</x:v>
      </x:c>
      <x:c r="C39" s="11" t="str">
        <x:v>source_refs</x:v>
      </x:c>
      <x:c r="D39" s="11" t="str">
        <x:v>SMS / Requirement Sources</x:v>
      </x:c>
      <x:c r="E39" s="11" t="str">
        <x:v>RiskTemplate</x:v>
      </x:c>
      <x:c r="F39" s="11" t="str">
        <x:v>{"widget":"input/text","semantic":"Reference"}</x:v>
      </x:c>
      <x:c r="G39" s="11" t="str">
        <x:v>{"mandatory":"Conditional","default":"","options":""}</x:v>
      </x:c>
      <x:c r="H39" s="11" t="str">
        <x:v>Master/Tug Master; DPA/HSEQ; Control Owner; assigned crew; auditor read/verify as scoped</x:v>
      </x:c>
      <x:c r="I39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39" s="11" t="str">
        <x:v>FR-risk-template-library-source_refs</x:v>
      </x:c>
      <x:c r="K39" s="11" t="str">
        <x:v>TC-risk-template-library-source_refs</x:v>
      </x:c>
      <x:c r="L39" s="11" t="str">
        <x:v>SOURCE_PRESENT_RUNTIME_NOT_IMPLEMENTED</x:v>
      </x:c>
    </x:row>
    <x:row r="40" ht="66" customHeight="1">
      <x:c r="A40" s="11" t="str">
        <x:v>SRC-35</x:v>
      </x:c>
      <x:c r="B40" s="11" t="str">
        <x:v>high-risk-work</x:v>
      </x:c>
      <x:c r="C40" s="11" t="str">
        <x:v>work_id</x:v>
      </x:c>
      <x:c r="D40" s="11" t="str">
        <x:v>Work / Operation ID</x:v>
      </x:c>
      <x:c r="E40" s="11" t="str">
        <x:v>HighRiskWork</x:v>
      </x:c>
      <x:c r="F40" s="11" t="str">
        <x:v>{"widget":"input/text","semantic":"Reference"}</x:v>
      </x:c>
      <x:c r="G40" s="11" t="str">
        <x:v>{"mandatory":"Yes","default":"","options":""}</x:v>
      </x:c>
      <x:c r="H40" s="11" t="str">
        <x:v>Master/Tug Master; DPA/HSEQ; Control Owner; assigned crew; auditor read/verify as scoped</x:v>
      </x:c>
      <x:c r="I40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0" s="11" t="str">
        <x:v>FR-high-risk-work-work_id</x:v>
      </x:c>
      <x:c r="K40" s="11" t="str">
        <x:v>TC-high-risk-work-work_id</x:v>
      </x:c>
      <x:c r="L40" s="11" t="str">
        <x:v>SOURCE_PRESENT_RUNTIME_NOT_IMPLEMENTED</x:v>
      </x:c>
    </x:row>
    <x:row r="41" ht="66" customHeight="1">
      <x:c r="A41" s="11" t="str">
        <x:v>SRC-36</x:v>
      </x:c>
      <x:c r="B41" s="11" t="str">
        <x:v>high-risk-work</x:v>
      </x:c>
      <x:c r="C41" s="11" t="str">
        <x:v>vessel_id</x:v>
      </x:c>
      <x:c r="D41" s="11" t="str">
        <x:v>Vessel / Tug</x:v>
      </x:c>
      <x:c r="E41" s="11" t="str">
        <x:v>HighRiskWork</x:v>
      </x:c>
      <x:c r="F41" s="11" t="str">
        <x:v>{"widget":"input/text","semantic":"Reference"}</x:v>
      </x:c>
      <x:c r="G41" s="11" t="str">
        <x:v>{"mandatory":"Yes","default":"","options":""}</x:v>
      </x:c>
      <x:c r="H41" s="11" t="str">
        <x:v>Master/Tug Master; DPA/HSEQ; Control Owner; assigned crew; auditor read/verify as scoped</x:v>
      </x:c>
      <x:c r="I41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1" s="11" t="str">
        <x:v>FR-high-risk-work-vessel_id</x:v>
      </x:c>
      <x:c r="K41" s="11" t="str">
        <x:v>TC-high-risk-work-vessel_id</x:v>
      </x:c>
      <x:c r="L41" s="11" t="str">
        <x:v>SOURCE_PRESENT_RUNTIME_NOT_IMPLEMENTED</x:v>
      </x:c>
    </x:row>
    <x:row r="42" ht="78.75" customHeight="1">
      <x:c r="A42" s="11" t="str">
        <x:v>SRC-37</x:v>
      </x:c>
      <x:c r="B42" s="11" t="str">
        <x:v>high-risk-work</x:v>
      </x:c>
      <x:c r="C42" s="11" t="str">
        <x:v>work_type</x:v>
      </x:c>
      <x:c r="D42" s="11" t="str">
        <x:v>High-Risk Work Type</x:v>
      </x:c>
      <x:c r="E42" s="11" t="str">
        <x:v>HighRiskWork</x:v>
      </x:c>
      <x:c r="F42" s="11" t="str">
        <x:v>{"widget":"select/select","semantic":"Enum"}</x:v>
      </x:c>
      <x:c r="G42" s="11" t="str">
        <x:v>{"mandatory":"Yes","default":"","options":"Hot Work; Enclosed Space; Working Aloft; Electrical Isolation; Critical Maintenance; Towage; Bunkering; Other"}</x:v>
      </x:c>
      <x:c r="H42" s="11" t="str">
        <x:v>Master/Tug Master; DPA/HSEQ; Control Owner; assigned crew; auditor read/verify as scoped</x:v>
      </x:c>
      <x:c r="I42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2" s="11" t="str">
        <x:v>FR-high-risk-work-work_type</x:v>
      </x:c>
      <x:c r="K42" s="11" t="str">
        <x:v>TC-high-risk-work-work_type</x:v>
      </x:c>
      <x:c r="L42" s="11" t="str">
        <x:v>SOURCE_PRESENT_RUNTIME_NOT_IMPLEMENTED</x:v>
      </x:c>
    </x:row>
    <x:row r="43" ht="66" customHeight="1">
      <x:c r="A43" s="11" t="str">
        <x:v>SRC-38</x:v>
      </x:c>
      <x:c r="B43" s="11" t="str">
        <x:v>high-risk-work</x:v>
      </x:c>
      <x:c r="C43" s="11" t="str">
        <x:v>planned_start</x:v>
      </x:c>
      <x:c r="D43" s="11" t="str">
        <x:v>Planned Start</x:v>
      </x:c>
      <x:c r="E43" s="11" t="str">
        <x:v>HighRiskWork</x:v>
      </x:c>
      <x:c r="F43" s="11" t="str">
        <x:v>{"widget":"input/text","semantic":"Date/Time"}</x:v>
      </x:c>
      <x:c r="G43" s="11" t="str">
        <x:v>{"mandatory":"Yes","default":"","options":""}</x:v>
      </x:c>
      <x:c r="H43" s="11" t="str">
        <x:v>Master/Tug Master; DPA/HSEQ; Control Owner; assigned crew; auditor read/verify as scoped</x:v>
      </x:c>
      <x:c r="I43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3" s="11" t="str">
        <x:v>FR-high-risk-work-planned_start</x:v>
      </x:c>
      <x:c r="K43" s="11" t="str">
        <x:v>TC-high-risk-work-planned_start</x:v>
      </x:c>
      <x:c r="L43" s="11" t="str">
        <x:v>SOURCE_PRESENT_RUNTIME_NOT_IMPLEMENTED</x:v>
      </x:c>
    </x:row>
    <x:row r="44" ht="66" customHeight="1">
      <x:c r="A44" s="11" t="str">
        <x:v>SRC-39</x:v>
      </x:c>
      <x:c r="B44" s="11" t="str">
        <x:v>high-risk-work</x:v>
      </x:c>
      <x:c r="C44" s="11" t="str">
        <x:v>responsible_role</x:v>
      </x:c>
      <x:c r="D44" s="11" t="str">
        <x:v>Responsible Role</x:v>
      </x:c>
      <x:c r="E44" s="11" t="str">
        <x:v>HighRiskWork</x:v>
      </x:c>
      <x:c r="F44" s="11" t="str">
        <x:v>{"widget":"input/text","semantic":"Reference"}</x:v>
      </x:c>
      <x:c r="G44" s="11" t="str">
        <x:v>{"mandatory":"Yes","default":"","options":""}</x:v>
      </x:c>
      <x:c r="H44" s="11" t="str">
        <x:v>Master/Tug Master; DPA/HSEQ; Control Owner; assigned crew; auditor read/verify as scoped</x:v>
      </x:c>
      <x:c r="I44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4" s="11" t="str">
        <x:v>FR-high-risk-work-responsible_role</x:v>
      </x:c>
      <x:c r="K44" s="11" t="str">
        <x:v>TC-high-risk-work-responsible_role</x:v>
      </x:c>
      <x:c r="L44" s="11" t="str">
        <x:v>SOURCE_PRESENT_RUNTIME_NOT_IMPLEMENTED</x:v>
      </x:c>
    </x:row>
    <x:row r="45" ht="66" customHeight="1">
      <x:c r="A45" s="11" t="str">
        <x:v>SRC-40</x:v>
      </x:c>
      <x:c r="B45" s="11" t="str">
        <x:v>high-risk-work</x:v>
      </x:c>
      <x:c r="C45" s="11" t="str">
        <x:v>risk_state</x:v>
      </x:c>
      <x:c r="D45" s="11" t="str">
        <x:v>Risk State</x:v>
      </x:c>
      <x:c r="E45" s="11" t="str">
        <x:v>HighRiskWork</x:v>
      </x:c>
      <x:c r="F45" s="11" t="str">
        <x:v>{"widget":"select/select","semantic":"State"}</x:v>
      </x:c>
      <x:c r="G45" s="11" t="str">
        <x:v>{"mandatory":"Yes","default":"","options":"READY; ATTENTION; BLOCKED; REVIEW_REQUIRED"}</x:v>
      </x:c>
      <x:c r="H45" s="11" t="str">
        <x:v>Master/Tug Master; DPA/HSEQ; Control Owner; assigned crew; auditor read/verify as scoped</x:v>
      </x:c>
      <x:c r="I45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5" s="11" t="str">
        <x:v>FR-high-risk-work-risk_state</x:v>
      </x:c>
      <x:c r="K45" s="11" t="str">
        <x:v>TC-high-risk-work-risk_state</x:v>
      </x:c>
      <x:c r="L45" s="11" t="str">
        <x:v>SOURCE_PRESENT_RUNTIME_NOT_IMPLEMENTED</x:v>
      </x:c>
    </x:row>
    <x:row r="46" ht="66" customHeight="1">
      <x:c r="A46" s="11" t="str">
        <x:v>SRC-41</x:v>
      </x:c>
      <x:c r="B46" s="11" t="str">
        <x:v>high-risk-work</x:v>
      </x:c>
      <x:c r="C46" s="11" t="str">
        <x:v>permit_state</x:v>
      </x:c>
      <x:c r="D46" s="11" t="str">
        <x:v>Permit State</x:v>
      </x:c>
      <x:c r="E46" s="11" t="str">
        <x:v>HighRiskWork</x:v>
      </x:c>
      <x:c r="F46" s="11" t="str">
        <x:v>{"widget":"select/select","semantic":"State"}</x:v>
      </x:c>
      <x:c r="G46" s="11" t="str">
        <x:v>{"mandatory":"Conditional","default":"","options":"N/A; PENDING; APPROVED; EXPIRED"}</x:v>
      </x:c>
      <x:c r="H46" s="11" t="str">
        <x:v>Master/Tug Master; DPA/HSEQ; Control Owner; assigned crew; auditor read/verify as scoped</x:v>
      </x:c>
      <x:c r="I46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6" s="11" t="str">
        <x:v>FR-high-risk-work-permit_state</x:v>
      </x:c>
      <x:c r="K46" s="11" t="str">
        <x:v>TC-high-risk-work-permit_state</x:v>
      </x:c>
      <x:c r="L46" s="11" t="str">
        <x:v>SOURCE_PRESENT_RUNTIME_NOT_IMPLEMENTED</x:v>
      </x:c>
    </x:row>
    <x:row r="47" ht="66" customHeight="1">
      <x:c r="A47" s="11" t="str">
        <x:v>SRC-42</x:v>
      </x:c>
      <x:c r="B47" s="11" t="str">
        <x:v>high-risk-work</x:v>
      </x:c>
      <x:c r="C47" s="11" t="str">
        <x:v>critical_barrier_state</x:v>
      </x:c>
      <x:c r="D47" s="11" t="str">
        <x:v>Critical Barrier State</x:v>
      </x:c>
      <x:c r="E47" s="11" t="str">
        <x:v>HighRiskWork</x:v>
      </x:c>
      <x:c r="F47" s="11" t="str">
        <x:v>{"widget":"select/select","semantic":"State"}</x:v>
      </x:c>
      <x:c r="G47" s="11" t="str">
        <x:v>{"mandatory":"Yes","default":"","options":"HEALTHY; DEGRADED; FAILED; UNKNOWN"}</x:v>
      </x:c>
      <x:c r="H47" s="11" t="str">
        <x:v>Master/Tug Master; DPA/HSEQ; Control Owner; assigned crew; auditor read/verify as scoped</x:v>
      </x:c>
      <x:c r="I47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7" s="11" t="str">
        <x:v>FR-high-risk-work-critical_barrier_state</x:v>
      </x:c>
      <x:c r="K47" s="11" t="str">
        <x:v>TC-high-risk-work-critical_barrier_state</x:v>
      </x:c>
      <x:c r="L47" s="11" t="str">
        <x:v>SOURCE_PRESENT_RUNTIME_NOT_IMPLEMENTED</x:v>
      </x:c>
    </x:row>
    <x:row r="48" ht="66" customHeight="1">
      <x:c r="A48" s="11" t="str">
        <x:v>SRC-43</x:v>
      </x:c>
      <x:c r="B48" s="11" t="str">
        <x:v>high-risk-work</x:v>
      </x:c>
      <x:c r="C48" s="11" t="str">
        <x:v>crew_readiness</x:v>
      </x:c>
      <x:c r="D48" s="11" t="str">
        <x:v>Crew Readiness</x:v>
      </x:c>
      <x:c r="E48" s="11" t="str">
        <x:v>HighRiskWork</x:v>
      </x:c>
      <x:c r="F48" s="11" t="str">
        <x:v>{"widget":"select/select","semantic":"State"}</x:v>
      </x:c>
      <x:c r="G48" s="11" t="str">
        <x:v>{"mandatory":"Yes","default":"","options":"READY; CONDITIONAL; NOT_READY; REVIEW_REQUIRED"}</x:v>
      </x:c>
      <x:c r="H48" s="11" t="str">
        <x:v>Master/Tug Master; DPA/HSEQ; Control Owner; assigned crew; auditor read/verify as scoped</x:v>
      </x:c>
      <x:c r="I48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8" s="11" t="str">
        <x:v>FR-high-risk-work-crew_readiness</x:v>
      </x:c>
      <x:c r="K48" s="11" t="str">
        <x:v>TC-high-risk-work-crew_readiness</x:v>
      </x:c>
      <x:c r="L48" s="11" t="str">
        <x:v>SOURCE_PRESENT_RUNTIME_NOT_IMPLEMENTED</x:v>
      </x:c>
    </x:row>
    <x:row r="49" ht="66" customHeight="1">
      <x:c r="A49" s="11" t="str">
        <x:v>SRC-44</x:v>
      </x:c>
      <x:c r="B49" s="11" t="str">
        <x:v>high-risk-work</x:v>
      </x:c>
      <x:c r="C49" s="11" t="str">
        <x:v>equipment_readiness</x:v>
      </x:c>
      <x:c r="D49" s="11" t="str">
        <x:v>Equipment Readiness</x:v>
      </x:c>
      <x:c r="E49" s="11" t="str">
        <x:v>HighRiskWork</x:v>
      </x:c>
      <x:c r="F49" s="11" t="str">
        <x:v>{"widget":"select/select","semantic":"State"}</x:v>
      </x:c>
      <x:c r="G49" s="11" t="str">
        <x:v>{"mandatory":"Conditional","default":"","options":"READY; CONDITIONAL; NOT_READY; REVIEW_REQUIRED"}</x:v>
      </x:c>
      <x:c r="H49" s="11" t="str">
        <x:v>Master/Tug Master; DPA/HSEQ; Control Owner; assigned crew; auditor read/verify as scoped</x:v>
      </x:c>
      <x:c r="I49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49" s="11" t="str">
        <x:v>FR-high-risk-work-equipment_readiness</x:v>
      </x:c>
      <x:c r="K49" s="11" t="str">
        <x:v>TC-high-risk-work-equipment_readiness</x:v>
      </x:c>
      <x:c r="L49" s="11" t="str">
        <x:v>SOURCE_PRESENT_RUNTIME_NOT_IMPLEMENTED</x:v>
      </x:c>
    </x:row>
    <x:row r="50" ht="66" customHeight="1">
      <x:c r="A50" s="11" t="str">
        <x:v>SRC-45</x:v>
      </x:c>
      <x:c r="B50" s="11" t="str">
        <x:v>high-risk-work</x:v>
      </x:c>
      <x:c r="C50" s="11" t="str">
        <x:v>next_action</x:v>
      </x:c>
      <x:c r="D50" s="11" t="str">
        <x:v>Next Action</x:v>
      </x:c>
      <x:c r="E50" s="11" t="str">
        <x:v>HighRiskWork</x:v>
      </x:c>
      <x:c r="F50" s="11" t="str">
        <x:v>{"widget":"input/text","semantic":"Text"}</x:v>
      </x:c>
      <x:c r="G50" s="11" t="str">
        <x:v>{"mandatory":"Conditional","default":"","options":""}</x:v>
      </x:c>
      <x:c r="H50" s="11" t="str">
        <x:v>Master/Tug Master; DPA/HSEQ; Control Owner; assigned crew; auditor read/verify as scoped</x:v>
      </x:c>
      <x:c r="I50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50" s="11" t="str">
        <x:v>FR-high-risk-work-next_action</x:v>
      </x:c>
      <x:c r="K50" s="11" t="str">
        <x:v>TC-high-risk-work-next_action</x:v>
      </x:c>
      <x:c r="L50" s="11" t="str">
        <x:v>SOURCE_PRESENT_RUNTIME_NOT_IMPLEMENTED</x:v>
      </x:c>
    </x:row>
    <x:row r="51" ht="66" customHeight="1">
      <x:c r="A51" s="11" t="str">
        <x:v>SRC-46</x:v>
      </x:c>
      <x:c r="B51" s="11" t="str">
        <x:v>high-risk-work</x:v>
      </x:c>
      <x:c r="C51" s="11" t="str">
        <x:v>owner_due</x:v>
      </x:c>
      <x:c r="D51" s="11" t="str">
        <x:v>Owner / Due</x:v>
      </x:c>
      <x:c r="E51" s="11" t="str">
        <x:v>HighRiskWork</x:v>
      </x:c>
      <x:c r="F51" s="11" t="str">
        <x:v>{"widget":"input/text","semantic":"Text"}</x:v>
      </x:c>
      <x:c r="G51" s="11" t="str">
        <x:v>{"mandatory":"Conditional","default":"","options":""}</x:v>
      </x:c>
      <x:c r="H51" s="11" t="str">
        <x:v>Master/Tug Master; DPA/HSEQ; Control Owner; assigned crew; auditor read/verify as scoped</x:v>
      </x:c>
      <x:c r="I51" s="11" t="str">
        <x:v>{"validation":"Type, format, range and contextual business rules must pass","offline_source":"Offline capture supported for onboard operational data; reconnect is idempotent; material conflicts require human resolution."}</x:v>
      </x:c>
      <x:c r="J51" s="11" t="str">
        <x:v>FR-high-risk-work-owner_due</x:v>
      </x:c>
      <x:c r="K51" s="11" t="str">
        <x:v>TC-high-risk-work-owner_due</x:v>
      </x:c>
      <x:c r="L51" s="11" t="str">
        <x:v>SOURCE_PRESENT_RUNTIME_NOT_IMPLEMENTED</x:v>
      </x:c>
    </x:row>
  </x:sheetData>
  <x:pageMargins left="0.7" right="0.7" top="0.75" bottom="0.75" header="0.3" footer="0.3"/>
  <x:tableParts count="1">
    <x:tablePart xmlns:r="http://schemas.openxmlformats.org/officeDocument/2006/relationships" r:id="R082d0eb92f194c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17.5" hidden="0" customWidth="1"/>
    <x:col min="3" max="3" width="27" hidden="0" customWidth="1"/>
    <x:col min="4" max="4" width="21" hidden="0" customWidth="1"/>
    <x:col min="5" max="5" width="10.5" hidden="0" customWidth="1"/>
    <x:col min="6" max="6" width="19" hidden="0" customWidth="1"/>
    <x:col min="7" max="7" width="29" hidden="0" customWidth="1"/>
    <x:col min="8" max="8" width="48" hidden="0" customWidth="1"/>
    <x:col min="9" max="9" width="22" hidden="0" customWidth="1"/>
    <x:col min="10" max="10" width="12" hidden="0" customWidth="1"/>
    <x:col min="11" max="11" width="17" hidden="0" customWidth="1"/>
    <x:col min="12" max="12" width="13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Yeni form alanları ve kayıt ilişkileri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5" t="str">
        <x:v>Önerilen mantıksal sözleşme. Tip, kardinalite ve required predicate fiziksel DB/API onayı değildir.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.5" customHeight="1">
      <x:c r="A5" s="10" t="str">
        <x:v>Alan ID</x:v>
      </x:c>
      <x:c r="B5" s="10" t="str">
        <x:v>Form / nesne</x:v>
      </x:c>
      <x:c r="C5" s="10" t="str">
        <x:v>Mantıksal alan</x:v>
      </x:c>
      <x:c r="D5" s="10" t="str">
        <x:v>TR etiketi</x:v>
      </x:c>
      <x:c r="E5" s="10" t="str">
        <x:v>Kardinalite</x:v>
      </x:c>
      <x:c r="F5" s="10" t="str">
        <x:v>Veri türü</x:v>
      </x:c>
      <x:c r="G5" s="10" t="str">
        <x:v>Zorunluluk koşulu</x:v>
      </x:c>
      <x:c r="H5" s="10" t="str">
        <x:v>Doğrulama / emniyet sınırı</x:v>
      </x:c>
      <x:c r="I5" s="10" t="str">
        <x:v>Önerilen rol</x:v>
      </x:c>
      <x:c r="J5" s="10" t="str">
        <x:v>Kaynak ID</x:v>
      </x:c>
      <x:c r="K5" s="10" t="str">
        <x:v>Kapı</x:v>
      </x:c>
      <x:c r="L5" s="10" t="str">
        <x:v>Durum</x:v>
      </x:c>
    </x:row>
    <x:row r="6" ht="40.5" customHeight="1">
      <x:c r="A6" s="11" t="str">
        <x:v>N01</x:v>
      </x:c>
      <x:c r="B6" s="11" t="str">
        <x:v>Tüm nesneler</x:v>
      </x:c>
      <x:c r="C6" s="11" t="str">
        <x:v>record_id / revision</x:v>
      </x:c>
      <x:c r="D6" s="11" t="str">
        <x:v>Kimlik / revizyon</x:v>
      </x:c>
      <x:c r="E6" s="11" t="str">
        <x:v>1</x:v>
      </x:c>
      <x:c r="F6" s="11" t="str">
        <x:v>String + integer</x:v>
      </x:c>
      <x:c r="G6" s="11" t="str">
        <x:v>Her kayıt; onaylanan revizyon değişmez.</x:v>
      </x:c>
      <x:c r="H6" s="11" t="str">
        <x:v>Baseline RA, job JSA, dynamic ve Permit ayrı kimlik. Yeni revizyon eski onayı devralmaz.</x:v>
      </x:c>
      <x:c r="I6" s="11" t="str">
        <x:v>Sistem + yetkili inceleyen</x:v>
      </x:c>
      <x:c r="J6" s="11" t="str">
        <x:v>HT01, H11</x:v>
      </x:c>
      <x:c r="K6" s="11" t="str">
        <x:v>HSE-G02</x:v>
      </x:c>
      <x:c r="L6" s="11" t="str">
        <x:v>NEW-PROPOSED</x:v>
      </x:c>
    </x:row>
    <x:row r="7" ht="40.5" customHeight="1">
      <x:c r="A7" s="11" t="str">
        <x:v>N02</x:v>
      </x:c>
      <x:c r="B7" s="11" t="str">
        <x:v>Tüm nesneler</x:v>
      </x:c>
      <x:c r="C7" s="11" t="str">
        <x:v>tenant_id / company_id / vessel_id</x:v>
      </x:c>
      <x:c r="D7" s="11" t="str">
        <x:v>Sahiplik / kapsam</x:v>
      </x:c>
      <x:c r="E7" s="11" t="str">
        <x:v>1</x:v>
      </x:c>
      <x:c r="F7" s="11" t="str">
        <x:v>Scope FK</x:v>
      </x:c>
      <x:c r="G7" s="11" t="str">
        <x:v>Her okuma ve komut.</x:v>
      </x:c>
      <x:c r="H7" s="11" t="str">
        <x:v>Aynı gemi etiketi yeterli değil; tenant/company/vessel/job/object yetkisi sunucuda.</x:v>
      </x:c>
      <x:c r="I7" s="11" t="str">
        <x:v>Sistem</x:v>
      </x:c>
      <x:c r="J7" s="11" t="str">
        <x:v>HT01</x:v>
      </x:c>
      <x:c r="K7" s="11" t="str">
        <x:v>HSE-G05</x:v>
      </x:c>
      <x:c r="L7" s="11" t="str">
        <x:v>NEW-PROPOSED</x:v>
      </x:c>
    </x:row>
    <x:row r="8" ht="40.5" customHeight="1">
      <x:c r="A8" s="11" t="str">
        <x:v>N03</x:v>
      </x:c>
      <x:c r="B8" s="11" t="str">
        <x:v>Baseline RA</x:v>
      </x:c>
      <x:c r="C8" s="11" t="str">
        <x:v>workplace_scope</x:v>
      </x:c>
      <x:c r="D8" s="11" t="str">
        <x:v>İşyeri / faaliyet kapsamı</x:v>
      </x:c>
      <x:c r="E8" s="11" t="str">
        <x:v>1</x:v>
      </x:c>
      <x:c r="F8" s="11" t="str">
        <x:v>Structured text + refs</x:v>
      </x:c>
      <x:c r="G8" s="11" t="str">
        <x:v>Baseline submit sırasında.</x:v>
      </x:c>
      <x:c r="H8" s="11" t="str">
        <x:v>İşveren, departman, mahal, faaliyet ve mevzuat bağlamı. Evrensel gemi kapsamı türetilmez.</x:v>
      </x:c>
      <x:c r="I8" s="11" t="str">
        <x:v>Hazırlayan + İSG uzmanı</x:v>
      </x:c>
      <x:c r="J8" s="11" t="str">
        <x:v>H9, H10, H11</x:v>
      </x:c>
      <x:c r="K8" s="11" t="str">
        <x:v>HSE-G01</x:v>
      </x:c>
      <x:c r="L8" s="11" t="str">
        <x:v>NEW-PROPOSED</x:v>
      </x:c>
    </x:row>
    <x:row r="9" ht="40.5" customHeight="1">
      <x:c r="A9" s="11" t="str">
        <x:v>N04</x:v>
      </x:c>
      <x:c r="B9" s="11" t="str">
        <x:v>Baseline RA</x:v>
      </x:c>
      <x:c r="C9" s="11" t="str">
        <x:v>applicability_profile_revision</x:v>
      </x:c>
      <x:c r="D9" s="11" t="str">
        <x:v>Uygulanabilirlik profili</x:v>
      </x:c>
      <x:c r="E9" s="11" t="str">
        <x:v>1</x:v>
      </x:c>
      <x:c r="F9" s="11" t="str">
        <x:v>FK + revision</x:v>
      </x:c>
      <x:c r="G9" s="11" t="str">
        <x:v>Hukuki/SMS değerlendirmede.</x:v>
      </x:c>
      <x:c r="H9" s="11" t="str">
        <x:v>Bayrak, GT/tonaj esası, sefer, faaliyet, işveren/taşeron, enstrüman ve SMS sürümü.</x:v>
      </x:c>
      <x:c r="I9" s="11" t="str">
        <x:v>Hukuk + denizcilik + İSG</x:v>
      </x:c>
      <x:c r="J9" s="11" t="str">
        <x:v>H2, H3, H5–H11</x:v>
      </x:c>
      <x:c r="K9" s="11" t="str">
        <x:v>HSE-G01</x:v>
      </x:c>
      <x:c r="L9" s="11" t="str">
        <x:v>NEW-PROPOSED</x:v>
      </x:c>
    </x:row>
    <x:row r="10" ht="40.5" customHeight="1">
      <x:c r="A10" s="11" t="str">
        <x:v>N05</x:v>
      </x:c>
      <x:c r="B10" s="11" t="str">
        <x:v>Baseline RA</x:v>
      </x:c>
      <x:c r="C10" s="11" t="str">
        <x:v>assessment_team[]</x:v>
      </x:c>
      <x:c r="D10" s="11" t="str">
        <x:v>Değerlendirme ekibi</x:v>
      </x:c>
      <x:c r="E10" s="11" t="str">
        <x:v>1..n</x:v>
      </x:c>
      <x:c r="F10" s="11" t="str">
        <x:v>Role/competence refs</x:v>
      </x:c>
      <x:c r="G10" s="11" t="str">
        <x:v>Yöntem/kapsam gerektiriyorsa.</x:v>
      </x:c>
      <x:c r="H10" s="11" t="str">
        <x:v>Çalışan katılımı ve ekip yeterliği; rol etiketi grant sağlamaz. Klinik sağlık verisi yok.</x:v>
      </x:c>
      <x:c r="I10" s="11" t="str">
        <x:v>Hazırlayan + uzman</x:v>
      </x:c>
      <x:c r="J10" s="11" t="str">
        <x:v>H10, H11</x:v>
      </x:c>
      <x:c r="K10" s="11" t="str">
        <x:v>HSE-G05, HSE-G06</x:v>
      </x:c>
      <x:c r="L10" s="11" t="str">
        <x:v>NEW-PROPOSED</x:v>
      </x:c>
    </x:row>
    <x:row r="11" ht="40.5" customHeight="1">
      <x:c r="A11" s="11" t="str">
        <x:v>N06</x:v>
      </x:c>
      <x:c r="B11" s="11" t="str">
        <x:v>Baseline / JSA</x:v>
      </x:c>
      <x:c r="C11" s="11" t="str">
        <x:v>risk_method_version</x:v>
      </x:c>
      <x:c r="D11" s="11" t="str">
        <x:v>Risk yöntemi ve sürümü</x:v>
      </x:c>
      <x:c r="E11" s="11" t="str">
        <x:v>1</x:v>
      </x:c>
      <x:c r="F11" s="11" t="str">
        <x:v>Versioned FK</x:v>
      </x:c>
      <x:c r="G11" s="11" t="str">
        <x:v>Risk derecelendirmesi yapılacaksa.</x:v>
      </x:c>
      <x:c r="H11" s="11" t="str">
        <x:v>Varsayılan 5×5, çarpım veya kabul eşiği yok. Eksik yöntem/skor = değerlendirilmedi; sıfır değil.</x:v>
      </x:c>
      <x:c r="I11" s="11" t="str">
        <x:v>Yetkili risk değerlendirici</x:v>
      </x:c>
      <x:c r="J11" s="11" t="str">
        <x:v>H10, H11, HT01</x:v>
      </x:c>
      <x:c r="K11" s="11" t="str">
        <x:v>HSE-G01, HSE-G02</x:v>
      </x:c>
      <x:c r="L11" s="11" t="str">
        <x:v>NEW-PROPOSED</x:v>
      </x:c>
    </x:row>
    <x:row r="12" ht="40.5" customHeight="1">
      <x:c r="A12" s="11" t="str">
        <x:v>N07</x:v>
      </x:c>
      <x:c r="B12" s="11" t="str">
        <x:v>Baseline RA</x:v>
      </x:c>
      <x:c r="C12" s="11" t="str">
        <x:v>review_due / review_triggers[]</x:v>
      </x:c>
      <x:c r="D12" s="11" t="str">
        <x:v>Gözden geçirme</x:v>
      </x:c>
      <x:c r="E12" s="11" t="str">
        <x:v>1 + 0..n</x:v>
      </x:c>
      <x:c r="F12" s="11" t="str">
        <x:v>Date + trigger refs</x:v>
      </x:c>
      <x:c r="G12" s="11" t="str">
        <x:v>Onaylı kapsam profiline göre.</x:v>
      </x:c>
      <x:c r="H12" s="11" t="str">
        <x:v>2/4/6 yıl işyeri yenileme üst sınırları PTW süresi değildir. Olay/değişiklik tetikleri ayrı.</x:v>
      </x:c>
      <x:c r="I12" s="11" t="str">
        <x:v>İSG sahibi</x:v>
      </x:c>
      <x:c r="J12" s="11" t="str">
        <x:v>H11</x:v>
      </x:c>
      <x:c r="K12" s="11" t="str">
        <x:v>HSE-G01</x:v>
      </x:c>
      <x:c r="L12" s="11" t="str">
        <x:v>NEW-PROPOSED</x:v>
      </x:c>
    </x:row>
    <x:row r="13" ht="40.5" customHeight="1">
      <x:c r="A13" s="11" t="str">
        <x:v>N08</x:v>
      </x:c>
      <x:c r="B13" s="11" t="str">
        <x:v>Baseline / JSA</x:v>
      </x:c>
      <x:c r="C13" s="11" t="str">
        <x:v>risk_acceptance_decision</x:v>
      </x:c>
      <x:c r="D13" s="11" t="str">
        <x:v>İnsan risk kabulü</x:v>
      </x:c>
      <x:c r="E13" s="11" t="str">
        <x:v>1</x:v>
      </x:c>
      <x:c r="F13" s="11" t="str">
        <x:v>Decision record</x:v>
      </x:c>
      <x:c r="G13" s="11" t="str">
        <x:v>İnceleme sonrası, politika gereğince.</x:v>
      </x:c>
      <x:c r="H13" s="11" t="str">
        <x:v>Düşük puan otomatik kabul/izin vermez. Karar veren, gerekçe, zaman ve kapsam saklanır.</x:v>
      </x:c>
      <x:c r="I13" s="11" t="str">
        <x:v>Yetkili risk kabul rolü</x:v>
      </x:c>
      <x:c r="J13" s="11" t="str">
        <x:v>H2, H11, HT01</x:v>
      </x:c>
      <x:c r="K13" s="11" t="str">
        <x:v>HSE-G04, HSE-G05</x:v>
      </x:c>
      <x:c r="L13" s="11" t="str">
        <x:v>NEW-PROPOSED</x:v>
      </x:c>
    </x:row>
    <x:row r="14" ht="40.5" customHeight="1">
      <x:c r="A14" s="11" t="str">
        <x:v>N09</x:v>
      </x:c>
      <x:c r="B14" s="11" t="str">
        <x:v>RiskTemplate</x:v>
      </x:c>
      <x:c r="C14" s="11" t="str">
        <x:v>template_source_revision</x:v>
      </x:c>
      <x:c r="D14" s="11" t="str">
        <x:v>Şablon kaynak sürümü</x:v>
      </x:c>
      <x:c r="E14" s="11" t="str">
        <x:v>1</x:v>
      </x:c>
      <x:c r="F14" s="11" t="str">
        <x:v>FK + version</x:v>
      </x:c>
      <x:c r="G14" s="11" t="str">
        <x:v>Yeni şablon yayınında.</x:v>
      </x:c>
      <x:c r="H14" s="11" t="str">
        <x:v>Mevcut RiskTemplate kimliği korunur. Şablon kopyası yeni işi onaylı yapmaz.</x:v>
      </x:c>
      <x:c r="I14" s="11" t="str">
        <x:v>SMS / şablon sahibi</x:v>
      </x:c>
      <x:c r="J14" s="11" t="str">
        <x:v>HT01, HC03, HC04</x:v>
      </x:c>
      <x:c r="K14" s="11" t="str">
        <x:v>HSE-G02</x:v>
      </x:c>
      <x:c r="L14" s="11" t="str">
        <x:v>NEW-PROPOSED</x:v>
      </x:c>
    </x:row>
    <x:row r="15" ht="40.5" customHeight="1">
      <x:c r="A15" s="11" t="str">
        <x:v>N10</x:v>
      </x:c>
      <x:c r="B15" s="11" t="str">
        <x:v>Job JSA</x:v>
      </x:c>
      <x:c r="C15" s="11" t="str">
        <x:v>job_ref / work_order_ref</x:v>
      </x:c>
      <x:c r="D15" s="11" t="str">
        <x:v>İş bağlantısı</x:v>
      </x:c>
      <x:c r="E15" s="11" t="str">
        <x:v>1 + 0..1</x:v>
      </x:c>
      <x:c r="F15" s="11" t="str">
        <x:v>Scoped FK</x:v>
      </x:c>
      <x:c r="G15" s="11" t="str">
        <x:v>Job JSA submit sırasında.</x:v>
      </x:c>
      <x:c r="H15" s="11" t="str">
        <x:v>Gemi/iş/mahal/ekipman uyumu. Ship operations, tug job ve PMS aynı canonical Permit bağlantısını kullanır.</x:v>
      </x:c>
      <x:c r="I15" s="11" t="str">
        <x:v>Hazırlayan</x:v>
      </x:c>
      <x:c r="J15" s="11" t="str">
        <x:v>HT01, HC04</x:v>
      </x:c>
      <x:c r="K15" s="11" t="str">
        <x:v>HSE-G02, HSE-G05</x:v>
      </x:c>
      <x:c r="L15" s="11" t="str">
        <x:v>NEW-PROPOSED</x:v>
      </x:c>
    </x:row>
    <x:row r="16" ht="40.5" customHeight="1">
      <x:c r="A16" s="11" t="str">
        <x:v>N11</x:v>
      </x:c>
      <x:c r="B16" s="11" t="str">
        <x:v>Job JSA</x:v>
      </x:c>
      <x:c r="C16" s="11" t="str">
        <x:v>baseline_ref / template_ref</x:v>
      </x:c>
      <x:c r="D16" s="11" t="str">
        <x:v>Temel RA / şablon</x:v>
      </x:c>
      <x:c r="E16" s="11" t="str">
        <x:v>0..n</x:v>
      </x:c>
      <x:c r="F16" s="11" t="str">
        <x:v>ID + exact revision</x:v>
      </x:c>
      <x:c r="G16" s="11" t="str">
        <x:v>Kullanılan dayanak varsa.</x:v>
      </x:c>
      <x:c r="H16" s="11" t="str">
        <x:v>Eski referans revizyonu korunur. Güncel şablon eski JSA içeriğini sessizce değiştirmez.</x:v>
      </x:c>
      <x:c r="I16" s="11" t="str">
        <x:v>Hazırlayan + inceleyen</x:v>
      </x:c>
      <x:c r="J16" s="11" t="str">
        <x:v>HT01, H11</x:v>
      </x:c>
      <x:c r="K16" s="11" t="str">
        <x:v>HSE-G02</x:v>
      </x:c>
      <x:c r="L16" s="11" t="str">
        <x:v>NEW-PROPOSED</x:v>
      </x:c>
    </x:row>
    <x:row r="17" ht="36" customHeight="1">
      <x:c r="A17" s="11" t="str">
        <x:v>N12</x:v>
      </x:c>
      <x:c r="B17" s="11" t="str">
        <x:v>Job JSA</x:v>
      </x:c>
      <x:c r="C17" s="11" t="str">
        <x:v>work_scope / exclusions</x:v>
      </x:c>
      <x:c r="D17" s="11" t="str">
        <x:v>Kesin iş ve hariç işler</x:v>
      </x:c>
      <x:c r="E17" s="11" t="str">
        <x:v>1</x:v>
      </x:c>
      <x:c r="F17" s="11" t="str">
        <x:v>Text + scope refs</x:v>
      </x:c>
      <x:c r="G17" s="11" t="str">
        <x:v>Submit / issue öncesi.</x:v>
      </x:c>
      <x:c r="H17" s="11" t="str">
        <x:v>Bir PTW başka iş, ekipman veya mahal için yeniden kullanılmaz.</x:v>
      </x:c>
      <x:c r="I17" s="11" t="str">
        <x:v>Hazırlayan + izin veren</x:v>
      </x:c>
      <x:c r="J17" s="11" t="str">
        <x:v>H14, HT01</x:v>
      </x:c>
      <x:c r="K17" s="11" t="str">
        <x:v>HSE-G03</x:v>
      </x:c>
      <x:c r="L17" s="11" t="str">
        <x:v>NEW-PROPOSED</x:v>
      </x:c>
    </x:row>
    <x:row r="18" ht="40.5" customHeight="1">
      <x:c r="A18" s="11" t="str">
        <x:v>N13</x:v>
      </x:c>
      <x:c r="B18" s="11" t="str">
        <x:v>Job JSA</x:v>
      </x:c>
      <x:c r="C18" s="11" t="str">
        <x:v>job_steps[]</x:v>
      </x:c>
      <x:c r="D18" s="11" t="str">
        <x:v>İş adımları</x:v>
      </x:c>
      <x:c r="E18" s="11" t="str">
        <x:v>1..n</x:v>
      </x:c>
      <x:c r="F18" s="11" t="str">
        <x:v>Repeating ordered records</x:v>
      </x:c>
      <x:c r="G18" s="11" t="str">
        <x:v>İşe özel değerlendirmede.</x:v>
      </x:c>
      <x:c r="H18" s="11" t="str">
        <x:v>Her adımda birden çok tehlike/kontrol mümkün; tek düz job_step alanı yerine JSA Satırları sözleşmesi.</x:v>
      </x:c>
      <x:c r="I18" s="11" t="str">
        <x:v>Hazırlayan + ekip</x:v>
      </x:c>
      <x:c r="J18" s="11" t="str">
        <x:v>HT01, H11</x:v>
      </x:c>
      <x:c r="K18" s="11" t="str">
        <x:v>HSE-G02</x:v>
      </x:c>
      <x:c r="L18" s="11" t="str">
        <x:v>NEW-PROPOSED</x:v>
      </x:c>
    </x:row>
    <x:row r="19" ht="40.5" customHeight="1">
      <x:c r="A19" s="11" t="str">
        <x:v>N14</x:v>
      </x:c>
      <x:c r="B19" s="11" t="str">
        <x:v>Job JSA</x:v>
      </x:c>
      <x:c r="C19" s="11" t="str">
        <x:v>toolbox_record / acknowledgements[]</x:v>
      </x:c>
      <x:c r="D19" s="11" t="str">
        <x:v>Toolbox / katılım teyidi</x:v>
      </x:c>
      <x:c r="E19" s="11" t="str">
        <x:v>1 + 1..n</x:v>
      </x:c>
      <x:c r="F19" s="11" t="str">
        <x:v>Event + scoped refs</x:v>
      </x:c>
      <x:c r="G19" s="11" t="str">
        <x:v>İş ve SMS profili gerektiriyorsa.</x:v>
      </x:c>
      <x:c r="H19" s="11" t="str">
        <x:v>Katılım teyidi risk kabulü veya izin verme yetkisi değildir. Revizyonla bağlanır.</x:v>
      </x:c>
      <x:c r="I19" s="11" t="str">
        <x:v>İş yürütücüsü + ekip</x:v>
      </x:c>
      <x:c r="J19" s="11" t="str">
        <x:v>H14, HT01</x:v>
      </x:c>
      <x:c r="K19" s="11" t="str">
        <x:v>HSE-G03, HSE-G05</x:v>
      </x:c>
      <x:c r="L19" s="11" t="str">
        <x:v>NEW-PROPOSED</x:v>
      </x:c>
    </x:row>
    <x:row r="20" ht="40.5" customHeight="1">
      <x:c r="A20" s="11" t="str">
        <x:v>N15</x:v>
      </x:c>
      <x:c r="B20" s="11" t="str">
        <x:v>Dinamik değerlendirme</x:v>
      </x:c>
      <x:c r="C20" s="11" t="str">
        <x:v>observation_at / observer_ref</x:v>
      </x:c>
      <x:c r="D20" s="11" t="str">
        <x:v>Saha gözlemi</x:v>
      </x:c>
      <x:c r="E20" s="11" t="str">
        <x:v>1</x:v>
      </x:c>
      <x:c r="F20" s="11" t="str">
        <x:v>UTC timestamp + scoped actor</x:v>
      </x:c>
      <x:c r="G20" s="11" t="str">
        <x:v>Her gözlemde.</x:v>
      </x:c>
      <x:c r="H20" s="11" t="str">
        <x:v>Gözlem, formal RA veya PTW onayının yerine geçmez. Yerel saat ofseti ayrıca.</x:v>
      </x:c>
      <x:c r="I20" s="11" t="str">
        <x:v>Saha gözlemcisi</x:v>
      </x:c>
      <x:c r="J20" s="11" t="str">
        <x:v>H1, HT01</x:v>
      </x:c>
      <x:c r="K20" s="11" t="str">
        <x:v>HSE-G04</x:v>
      </x:c>
      <x:c r="L20" s="11" t="str">
        <x:v>NEW-PROPOSED</x:v>
      </x:c>
    </x:row>
    <x:row r="21" ht="40.5" customHeight="1">
      <x:c r="A21" s="11" t="str">
        <x:v>N16</x:v>
      </x:c>
      <x:c r="B21" s="11" t="str">
        <x:v>Dinamik değerlendirme</x:v>
      </x:c>
      <x:c r="C21" s="11" t="str">
        <x:v>changed_condition / affected_refs[]</x:v>
      </x:c>
      <x:c r="D21" s="11" t="str">
        <x:v>Değişen koşul / etki</x:v>
      </x:c>
      <x:c r="E21" s="11" t="str">
        <x:v>1 + 1..n</x:v>
      </x:c>
      <x:c r="F21" s="11" t="str">
        <x:v>Text + ID/revision refs</x:v>
      </x:c>
      <x:c r="G21" s="11" t="str">
        <x:v>Koşul değiştiğinde.</x:v>
      </x:c>
      <x:c r="H21" s="11" t="str">
        <x:v>Etkilenen RA/Permit/izolasyon/SIMOPS bağı; kritikliği uzman profilinde değerlendirilir.</x:v>
      </x:c>
      <x:c r="I21" s="11" t="str">
        <x:v>Saha + yetkili inceleyen</x:v>
      </x:c>
      <x:c r="J21" s="11" t="str">
        <x:v>H1, HR01</x:v>
      </x:c>
      <x:c r="K21" s="11" t="str">
        <x:v>HSE-G04</x:v>
      </x:c>
      <x:c r="L21" s="11" t="str">
        <x:v>NEW-PROPOSED</x:v>
      </x:c>
    </x:row>
    <x:row r="22" ht="40.5" customHeight="1">
      <x:c r="A22" s="11" t="str">
        <x:v>N17</x:v>
      </x:c>
      <x:c r="B22" s="11" t="str">
        <x:v>Dinamik değerlendirme</x:v>
      </x:c>
      <x:c r="C22" s="11" t="str">
        <x:v>stop_work_reason</x:v>
      </x:c>
      <x:c r="D22" s="11" t="str">
        <x:v>Durdurma bildirimi</x:v>
      </x:c>
      <x:c r="E22" s="11" t="str">
        <x:v>0..1</x:v>
      </x:c>
      <x:c r="F22" s="11" t="str">
        <x:v>Text + event</x:v>
      </x:c>
      <x:c r="G22" s="11" t="str">
        <x:v>Tehlike/durdurma bildirimi varsa.</x:v>
      </x:c>
      <x:c r="H22" s="11" t="str">
        <x:v>Fiziksel acil durdurma hakkını uygulama erişimine bağlamaz. Acil plan erişimi formu beklemez.</x:v>
      </x:c>
      <x:c r="I22" s="11" t="str">
        <x:v>Saha ekibi</x:v>
      </x:c>
      <x:c r="J22" s="11" t="str">
        <x:v>H1, HT01</x:v>
      </x:c>
      <x:c r="K22" s="11" t="str">
        <x:v>HSE-G04</x:v>
      </x:c>
      <x:c r="L22" s="11" t="str">
        <x:v>NEW-PROPOSED</x:v>
      </x:c>
    </x:row>
    <x:row r="23" ht="40.5" customHeight="1">
      <x:c r="A23" s="11" t="str">
        <x:v>N18</x:v>
      </x:c>
      <x:c r="B23" s="11" t="str">
        <x:v>Dinamik değerlendirme</x:v>
      </x:c>
      <x:c r="C23" s="11" t="str">
        <x:v>reauthorization_required</x:v>
      </x:c>
      <x:c r="D23" s="11" t="str">
        <x:v>Yeniden yetki gereği</x:v>
      </x:c>
      <x:c r="E23" s="11" t="str">
        <x:v>1</x:v>
      </x:c>
      <x:c r="F23" s="11" t="str">
        <x:v>Decision + profile ref</x:v>
      </x:c>
      <x:c r="G23" s="11" t="str">
        <x:v>Kritik RA/koşul değişimi.</x:v>
      </x:c>
      <x:c r="H23" s="11" t="str">
        <x:v>HSE-C01: effective authorization askıda/geçersiz/REVIEW_REQUIRED. Sadece uyarı yetmez; otomatik resume yok.</x:v>
      </x:c>
      <x:c r="I23" s="11" t="str">
        <x:v>Yetkili inceleyen + izin veren</x:v>
      </x:c>
      <x:c r="J23" s="11" t="str">
        <x:v>H1, HR01</x:v>
      </x:c>
      <x:c r="K23" s="11" t="str">
        <x:v>HSE-G04</x:v>
      </x:c>
      <x:c r="L23" s="11" t="str">
        <x:v>NEW-PROPOSED</x:v>
      </x:c>
    </x:row>
    <x:row r="24" ht="40.5" customHeight="1">
      <x:c r="A24" s="11" t="str">
        <x:v>N19</x:v>
      </x:c>
      <x:c r="B24" s="11" t="str">
        <x:v>Permit</x:v>
      </x:c>
      <x:c r="C24" s="11" t="str">
        <x:v>permit_id / number</x:v>
      </x:c>
      <x:c r="D24" s="11" t="str">
        <x:v>Canonical izin kimliği</x:v>
      </x:c>
      <x:c r="E24" s="11" t="str">
        <x:v>1</x:v>
      </x:c>
      <x:c r="F24" s="11" t="str">
        <x:v>Stable ID + display number</x:v>
      </x:c>
      <x:c r="G24" s="11" t="str">
        <x:v>Her Permit kaydı.</x:v>
      </x:c>
      <x:c r="H24" s="11" t="str">
        <x:v>HSE, operasyon ve bakım aynı aggregate kimliğini kullanır. HighRiskWork salt okunur projection.</x:v>
      </x:c>
      <x:c r="I24" s="11" t="str">
        <x:v>Sistem</x:v>
      </x:c>
      <x:c r="J24" s="11" t="str">
        <x:v>HT01</x:v>
      </x:c>
      <x:c r="K24" s="11" t="str">
        <x:v>HSE-G02</x:v>
      </x:c>
      <x:c r="L24" s="11" t="str">
        <x:v>NEW-PROPOSED</x:v>
      </x:c>
    </x:row>
    <x:row r="25" ht="40.5" customHeight="1">
      <x:c r="A25" s="11" t="str">
        <x:v>N20</x:v>
      </x:c>
      <x:c r="B25" s="11" t="str">
        <x:v>Permit</x:v>
      </x:c>
      <x:c r="C25" s="11" t="str">
        <x:v>permit_family_ids[]</x:v>
      </x:c>
      <x:c r="D25" s="11" t="str">
        <x:v>İzin aileleri</x:v>
      </x:c>
      <x:c r="E25" s="11" t="str">
        <x:v>1..n</x:v>
      </x:c>
      <x:c r="F25" s="11" t="str">
        <x:v>Versioned family refs</x:v>
      </x:c>
      <x:c r="G25" s="11" t="str">
        <x:v>İlgili iş/SMS profiline göre.</x:v>
      </x:c>
      <x:c r="H25" s="11" t="str">
        <x:v>Her etkin ailenin bütün uygulanabilir önkoşulları gerekir. Towage/bunkering etiketi tek başına zorunluluk değil.</x:v>
      </x:c>
      <x:c r="I25" s="11" t="str">
        <x:v>İzin veren + SMS sahibi</x:v>
      </x:c>
      <x:c r="J25" s="11" t="str">
        <x:v>H1, H14, HR01</x:v>
      </x:c>
      <x:c r="K25" s="11" t="str">
        <x:v>HSE-G01, HSE-G03</x:v>
      </x:c>
      <x:c r="L25" s="11" t="str">
        <x:v>NEW-PROPOSED</x:v>
      </x:c>
    </x:row>
    <x:row r="26" ht="40.5" customHeight="1">
      <x:c r="A26" s="11" t="str">
        <x:v>N21</x:v>
      </x:c>
      <x:c r="B26" s="11" t="str">
        <x:v>Permit</x:v>
      </x:c>
      <x:c r="C26" s="11" t="str">
        <x:v>job_ref / location_id / equipment_ids[]</x:v>
      </x:c>
      <x:c r="D26" s="11" t="str">
        <x:v>İş / mahal / ekipman</x:v>
      </x:c>
      <x:c r="E26" s="11" t="str">
        <x:v>1 / 1 / 0..n</x:v>
      </x:c>
      <x:c r="F26" s="11" t="str">
        <x:v>Scoped FK</x:v>
      </x:c>
      <x:c r="G26" s="11" t="str">
        <x:v>Issue öncesi.</x:v>
      </x:c>
      <x:c r="H26" s="11" t="str">
        <x:v>Gemi/mahal/ekipman ilişki kontrolü; SIMOPS ve izolasyon etki alanını belirler.</x:v>
      </x:c>
      <x:c r="I26" s="11" t="str">
        <x:v>Hazırlayan + izin veren</x:v>
      </x:c>
      <x:c r="J26" s="11" t="str">
        <x:v>H14, HT01</x:v>
      </x:c>
      <x:c r="K26" s="11" t="str">
        <x:v>HSE-G03, HSE-G05</x:v>
      </x:c>
      <x:c r="L26" s="11" t="str">
        <x:v>NEW-PROPOSED</x:v>
      </x:c>
    </x:row>
    <x:row r="27" ht="40.5" customHeight="1">
      <x:c r="A27" s="11" t="str">
        <x:v>N22</x:v>
      </x:c>
      <x:c r="B27" s="11" t="str">
        <x:v>Permit</x:v>
      </x:c>
      <x:c r="C27" s="11" t="str">
        <x:v>jsa_id / jsa_revision</x:v>
      </x:c>
      <x:c r="D27" s="11" t="str">
        <x:v>Bağlı işe özel risk</x:v>
      </x:c>
      <x:c r="E27" s="11" t="str">
        <x:v>1</x:v>
      </x:c>
      <x:c r="F27" s="11" t="str">
        <x:v>ID + exact revision</x:v>
      </x:c>
      <x:c r="G27" s="11" t="str">
        <x:v>Issue/activate ve yeniden yetkilendirmede.</x:v>
      </x:c>
      <x:c r="H27" s="11" t="str">
        <x:v>RA kabulü PTW onayı değildir. Kritik revizyon değişimi eski izin effective validity durumunu etkisiz bırakır.</x:v>
      </x:c>
      <x:c r="I27" s="11" t="str">
        <x:v>Risk inceleyen + izin veren</x:v>
      </x:c>
      <x:c r="J27" s="11" t="str">
        <x:v>H1, HR01, HT01</x:v>
      </x:c>
      <x:c r="K27" s="11" t="str">
        <x:v>HSE-G04</x:v>
      </x:c>
      <x:c r="L27" s="11" t="str">
        <x:v>NEW-PROPOSED</x:v>
      </x:c>
    </x:row>
    <x:row r="28" ht="40.5" customHeight="1">
      <x:c r="A28" s="11" t="str">
        <x:v>N23</x:v>
      </x:c>
      <x:c r="B28" s="11" t="str">
        <x:v>Permit</x:v>
      </x:c>
      <x:c r="C28" s="11" t="str">
        <x:v>sms_procedure_revision</x:v>
      </x:c>
      <x:c r="D28" s="11" t="str">
        <x:v>SMS / şablon sürümü</x:v>
      </x:c>
      <x:c r="E28" s="11" t="str">
        <x:v>1</x:v>
      </x:c>
      <x:c r="F28" s="11" t="str">
        <x:v>ID + version</x:v>
      </x:c>
      <x:c r="G28" s="11" t="str">
        <x:v>Etkin izin ailesi için.</x:v>
      </x:c>
      <x:c r="H28" s="11" t="str">
        <x:v>Statutory/flag_instruction/port_terminal/company_sms/recommended_practice ayrı.</x:v>
      </x:c>
      <x:c r="I28" s="11" t="str">
        <x:v>SMS sahibi</x:v>
      </x:c>
      <x:c r="J28" s="11" t="str">
        <x:v>H1–H4, H14</x:v>
      </x:c>
      <x:c r="K28" s="11" t="str">
        <x:v>HSE-G01</x:v>
      </x:c>
      <x:c r="L28" s="11" t="str">
        <x:v>NEW-PROPOSED</x:v>
      </x:c>
    </x:row>
    <x:row r="29" ht="40.5" customHeight="1">
      <x:c r="A29" s="11" t="str">
        <x:v>N24</x:v>
      </x:c>
      <x:c r="B29" s="11" t="str">
        <x:v>Permit</x:v>
      </x:c>
      <x:c r="C29" s="11" t="str">
        <x:v>planned_from / planned_to</x:v>
      </x:c>
      <x:c r="D29" s="11" t="str">
        <x:v>Planlanan zaman</x:v>
      </x:c>
      <x:c r="E29" s="11" t="str">
        <x:v>1</x:v>
      </x:c>
      <x:c r="F29" s="11" t="str">
        <x:v>Timestamp pair + UTC/local offset</x:v>
      </x:c>
      <x:c r="G29" s="11" t="str">
        <x:v>Başvuru sırasında.</x:v>
      </x:c>
      <x:c r="H29" s="11" t="str">
        <x:v>Plan penceresi çalışma yetkisi değildir; dönem çakışması değerlendirilir.</x:v>
      </x:c>
      <x:c r="I29" s="11" t="str">
        <x:v>Talep eden</x:v>
      </x:c>
      <x:c r="J29" s="11" t="str">
        <x:v>H1, H14</x:v>
      </x:c>
      <x:c r="K29" s="11" t="str">
        <x:v>HSE-G03</x:v>
      </x:c>
      <x:c r="L29" s="11" t="str">
        <x:v>NEW-PROPOSED</x:v>
      </x:c>
    </x:row>
    <x:row r="30" ht="40.5" customHeight="1">
      <x:c r="A30" s="11" t="str">
        <x:v>N25</x:v>
      </x:c>
      <x:c r="B30" s="11" t="str">
        <x:v>Permit</x:v>
      </x:c>
      <x:c r="C30" s="11" t="str">
        <x:v>authorized_from / authorized_to</x:v>
      </x:c>
      <x:c r="D30" s="11" t="str">
        <x:v>Yetkili geçerlilik penceresi</x:v>
      </x:c>
      <x:c r="E30" s="11" t="str">
        <x:v>1</x:v>
      </x:c>
      <x:c r="F30" s="11" t="str">
        <x:v>Timestamp pair + profile revision</x:v>
      </x:c>
      <x:c r="G30" s="11" t="str">
        <x:v>Issue sırasında.</x:v>
      </x:c>
      <x:c r="H30" s="11" t="str">
        <x:v>Süre uzman/SMS profilinden. IMO kapalı alan8 saat ve COSWP genel24 saat bağlamları evrensel varsayılan olmaz.</x:v>
      </x:c>
      <x:c r="I30" s="11" t="str">
        <x:v>Yetkili izin veren</x:v>
      </x:c>
      <x:c r="J30" s="11" t="str">
        <x:v>H1, H13, H14</x:v>
      </x:c>
      <x:c r="K30" s="11" t="str">
        <x:v>HSE-G01, HSE-G04</x:v>
      </x:c>
      <x:c r="L30" s="11" t="str">
        <x:v>NEW-PROPOSED</x:v>
      </x:c>
    </x:row>
    <x:row r="31" ht="36" customHeight="1">
      <x:c r="A31" s="11" t="str">
        <x:v>N26</x:v>
      </x:c>
      <x:c r="B31" s="11" t="str">
        <x:v>Permit</x:v>
      </x:c>
      <x:c r="C31" s="11" t="str">
        <x:v>duty_shift / handover_refs[]</x:v>
      </x:c>
      <x:c r="D31" s="11" t="str">
        <x:v>Vardiya ve devir</x:v>
      </x:c>
      <x:c r="E31" s="11" t="str">
        <x:v>1 + 0..n</x:v>
      </x:c>
      <x:c r="F31" s="11" t="str">
        <x:v>Scoped shift/event refs</x:v>
      </x:c>
      <x:c r="G31" s="11" t="str">
        <x:v>Vardiya/devir etkisi varsa.</x:v>
      </x:c>
      <x:c r="H31" s="11" t="str">
        <x:v>Devir mevcut yetkiyi otomatik uzatmaz. Güncel ekip/şart ve onay yenilenir.</x:v>
      </x:c>
      <x:c r="I31" s="11" t="str">
        <x:v>İş yürütücüsü + izin veren</x:v>
      </x:c>
      <x:c r="J31" s="11" t="str">
        <x:v>H14</x:v>
      </x:c>
      <x:c r="K31" s="11" t="str">
        <x:v>HSE-G03, HSE-G04</x:v>
      </x:c>
      <x:c r="L31" s="11" t="str">
        <x:v>NEW-PROPOSED</x:v>
      </x:c>
    </x:row>
    <x:row r="32" ht="40.5" customHeight="1">
      <x:c r="A32" s="11" t="str">
        <x:v>N27</x:v>
      </x:c>
      <x:c r="B32" s="11" t="str">
        <x:v>Permit</x:v>
      </x:c>
      <x:c r="C32" s="11" t="str">
        <x:v>assigned_roles[]</x:v>
      </x:c>
      <x:c r="D32" s="11" t="str">
        <x:v>İzin rolleri / yeterlik</x:v>
      </x:c>
      <x:c r="E32" s="11" t="str">
        <x:v>1..n</x:v>
      </x:c>
      <x:c r="F32" s="11" t="str">
        <x:v>Assignment + capability refs</x:v>
      </x:c>
      <x:c r="G32" s="11" t="str">
        <x:v>İlgili ailenin her gerekli rolünde.</x:v>
      </x:c>
      <x:c r="H32" s="11" t="str">
        <x:v>Talep eden, inceleyen, izin veren, işi alan, ölçüm/izolasyon sorumluları ayrı. Rol adı grant değildir.</x:v>
      </x:c>
      <x:c r="I32" s="11" t="str">
        <x:v>Yetki sahibi</x:v>
      </x:c>
      <x:c r="J32" s="11" t="str">
        <x:v>H14, HT01</x:v>
      </x:c>
      <x:c r="K32" s="11" t="str">
        <x:v>HSE-G03, HSE-G05</x:v>
      </x:c>
      <x:c r="L32" s="11" t="str">
        <x:v>NEW-PROPOSED</x:v>
      </x:c>
    </x:row>
    <x:row r="33" ht="40.5" customHeight="1">
      <x:c r="A33" s="11" t="str">
        <x:v>N28</x:v>
      </x:c>
      <x:c r="B33" s="11" t="str">
        <x:v>Permit</x:v>
      </x:c>
      <x:c r="C33" s="11" t="str">
        <x:v>isolation_certificate_refs[]</x:v>
      </x:c>
      <x:c r="D33" s="11" t="str">
        <x:v>İzolasyon kanıtı</x:v>
      </x:c>
      <x:c r="E33" s="11" t="str">
        <x:v>0..n</x:v>
      </x:c>
      <x:c r="F33" s="11" t="str">
        <x:v>ID + revision + state</x:v>
      </x:c>
      <x:c r="G33" s="11" t="str">
        <x:v>Risk/SMS/izin ailesi gerektiriyorsa.</x:v>
      </x:c>
      <x:c r="H33" s="11" t="str">
        <x:v>İzolasyon hazırlık/test/teslim bağı ayrı yetkili süreç. İzin kapatma izolasyon kaldırmaz.</x:v>
      </x:c>
      <x:c r="I33" s="11" t="str">
        <x:v>Yetkili izolasyon rolü</x:v>
      </x:c>
      <x:c r="J33" s="11" t="str">
        <x:v>H1, H14, HT01</x:v>
      </x:c>
      <x:c r="K33" s="11" t="str">
        <x:v>HSE-G03</x:v>
      </x:c>
      <x:c r="L33" s="11" t="str">
        <x:v>NEW-PROPOSED</x:v>
      </x:c>
    </x:row>
    <x:row r="34" ht="40.5" customHeight="1">
      <x:c r="A34" s="11" t="str">
        <x:v>N29</x:v>
      </x:c>
      <x:c r="B34" s="11" t="str">
        <x:v>Permit</x:v>
      </x:c>
      <x:c r="C34" s="11" t="str">
        <x:v>simops_review / linked_permits[]</x:v>
      </x:c>
      <x:c r="D34" s="11" t="str">
        <x:v>SIMOPS / bağlantılı izinler</x:v>
      </x:c>
      <x:c r="E34" s="11" t="str">
        <x:v>1 + 0..n</x:v>
      </x:c>
      <x:c r="F34" s="11" t="str">
        <x:v>Decision + ID/revision refs</x:v>
      </x:c>
      <x:c r="G34" s="11" t="str">
        <x:v>Aynı mahal/ekipman/etki alanı kesişiminde.</x:v>
      </x:c>
      <x:c r="H34" s="11" t="str">
        <x:v>Çelişki bilinmiyorsa uygun sayılmaz. Bağımlı izin değişikliği etkisini değerlendir.</x:v>
      </x:c>
      <x:c r="I34" s="11" t="str">
        <x:v>Yetkili koordinatör</x:v>
      </x:c>
      <x:c r="J34" s="11" t="str">
        <x:v>H14, HR01</x:v>
      </x:c>
      <x:c r="K34" s="11" t="str">
        <x:v>HSE-G03, HSE-G04</x:v>
      </x:c>
      <x:c r="L34" s="11" t="str">
        <x:v>NEW-PROPOSED</x:v>
      </x:c>
    </x:row>
    <x:row r="35" ht="40.5" customHeight="1">
      <x:c r="A35" s="11" t="str">
        <x:v>N30</x:v>
      </x:c>
      <x:c r="B35" s="11" t="str">
        <x:v>Permit</x:v>
      </x:c>
      <x:c r="C35" s="11" t="str">
        <x:v>preparation_checks[]</x:v>
      </x:c>
      <x:c r="D35" s="11" t="str">
        <x:v>Hazırlık doğrulamaları</x:v>
      </x:c>
      <x:c r="E35" s="11" t="str">
        <x:v>1..n</x:v>
      </x:c>
      <x:c r="F35" s="11" t="str">
        <x:v>Versioned check records</x:v>
      </x:c>
      <x:c r="G35" s="11" t="str">
        <x:v>Etkin ailenin uygulanabilir her önkoşulu.</x:v>
      </x:c>
      <x:c r="H35" s="11" t="str">
        <x:v>Missing/stale/unresolved önkoşulda effective VALID yok. P0 DEMO/idari-only sınırı.</x:v>
      </x:c>
      <x:c r="I35" s="11" t="str">
        <x:v>Yetkili saha kontrol rolü</x:v>
      </x:c>
      <x:c r="J35" s="11" t="str">
        <x:v>H1, H14, HR01</x:v>
      </x:c>
      <x:c r="K35" s="11" t="str">
        <x:v>HSE-G03</x:v>
      </x:c>
      <x:c r="L35" s="11" t="str">
        <x:v>NEW-PROPOSED</x:v>
      </x:c>
    </x:row>
    <x:row r="36" ht="40.5" customHeight="1">
      <x:c r="A36" s="11" t="str">
        <x:v>N31</x:v>
      </x:c>
      <x:c r="B36" s="11" t="str">
        <x:v>Permit</x:v>
      </x:c>
      <x:c r="C36" s="11" t="str">
        <x:v>measurement_records[]</x:v>
      </x:c>
      <x:c r="D36" s="11" t="str">
        <x:v>Ölçüm kanıtı</x:v>
      </x:c>
      <x:c r="E36" s="11" t="str">
        <x:v>0..n</x:v>
      </x:c>
      <x:c r="F36" s="11" t="str">
        <x:v>Repeating structured records</x:v>
      </x:c>
      <x:c r="G36" s="11" t="str">
        <x:v>Risk ve onaylı profil gerektiriyorsa.</x:v>
      </x:c>
      <x:c r="H36" s="11" t="str">
        <x:v>Cihaz, doğrulama/kalibrasyon ref, ölçen, konum/zaman, birim/sonuç ve uzman sınır profili. Eşik değeri burada yok.</x:v>
      </x:c>
      <x:c r="I36" s="11" t="str">
        <x:v>Yetkili ölçüm rolü</x:v>
      </x:c>
      <x:c r="J36" s="11" t="str">
        <x:v>H1</x:v>
      </x:c>
      <x:c r="K36" s="11" t="str">
        <x:v>HSE-G03, HSE-G06</x:v>
      </x:c>
      <x:c r="L36" s="11" t="str">
        <x:v>NEW-PROPOSED</x:v>
      </x:c>
    </x:row>
    <x:row r="37" ht="40.5" customHeight="1">
      <x:c r="A37" s="11" t="str">
        <x:v>N32</x:v>
      </x:c>
      <x:c r="B37" s="11" t="str">
        <x:v>Permit</x:v>
      </x:c>
      <x:c r="C37" s="11" t="str">
        <x:v>emergency_plan_ref / readiness</x:v>
      </x:c>
      <x:c r="D37" s="11" t="str">
        <x:v>Acil hazırlık referansı</x:v>
      </x:c>
      <x:c r="E37" s="11" t="str">
        <x:v>0..1 + 0..n</x:v>
      </x:c>
      <x:c r="F37" s="11" t="str">
        <x:v>Approved plan + role/check refs</x:v>
      </x:c>
      <x:c r="G37" s="11" t="str">
        <x:v>İlgili aile/risk gerektiriyorsa.</x:v>
      </x:c>
      <x:c r="H37" s="11" t="str">
        <x:v>Gemi onaylı acil plan, iletişim ve gözcü/kurtarma rol teyidi. Yazılım operasyon talimatı üretmez.</x:v>
      </x:c>
      <x:c r="I37" s="11" t="str">
        <x:v>Yetkili saha/izin rolü</x:v>
      </x:c>
      <x:c r="J37" s="11" t="str">
        <x:v>H1, H14</x:v>
      </x:c>
      <x:c r="K37" s="11" t="str">
        <x:v>HSE-G03</x:v>
      </x:c>
      <x:c r="L37" s="11" t="str">
        <x:v>NEW-PROPOSED</x:v>
      </x:c>
    </x:row>
    <x:row r="38" ht="40.5" customHeight="1">
      <x:c r="A38" s="11" t="str">
        <x:v>N33</x:v>
      </x:c>
      <x:c r="B38" s="11" t="str">
        <x:v>Permit</x:v>
      </x:c>
      <x:c r="C38" s="11" t="str">
        <x:v>approval_events[]</x:v>
      </x:c>
      <x:c r="D38" s="11" t="str">
        <x:v>İnsan yetkilendirme kaydı</x:v>
      </x:c>
      <x:c r="E38" s="11" t="str">
        <x:v>1..n</x:v>
      </x:c>
      <x:c r="F38" s="11" t="str">
        <x:v>Actor/capability/time/reason/event</x:v>
      </x:c>
      <x:c r="G38" s="11" t="str">
        <x:v>Issue, activate, resume ve uzatmada profiline göre.</x:v>
      </x:c>
      <x:c r="H38" s="11" t="str">
        <x:v>Güncel grant, mesleki yeterlik, görev ayrılığı, vekalet ve imza politikası. AI/admin otomatik onay yok.</x:v>
      </x:c>
      <x:c r="I38" s="11" t="str">
        <x:v>Yetkili izin veren</x:v>
      </x:c>
      <x:c r="J38" s="11" t="str">
        <x:v>H1, H14, HT01</x:v>
      </x:c>
      <x:c r="K38" s="11" t="str">
        <x:v>HSE-G05, HSE-G06</x:v>
      </x:c>
      <x:c r="L38" s="11" t="str">
        <x:v>NEW-PROPOSED</x:v>
      </x:c>
    </x:row>
    <x:row r="39" ht="40.5" customHeight="1">
      <x:c r="A39" s="11" t="str">
        <x:v>N34</x:v>
      </x:c>
      <x:c r="B39" s="11" t="str">
        <x:v>Permit</x:v>
      </x:c>
      <x:c r="C39" s="11" t="str">
        <x:v>workflow_state</x:v>
      </x:c>
      <x:c r="D39" s="11" t="str">
        <x:v>Saklanan iş akışı durumu</x:v>
      </x:c>
      <x:c r="E39" s="11" t="str">
        <x:v>1</x:v>
      </x:c>
      <x:c r="F39" s="11" t="str">
        <x:v>Proposed enum</x:v>
      </x:c>
      <x:c r="G39" s="11" t="str">
        <x:v>Her Permit kaydı.</x:v>
      </x:c>
      <x:c r="H39" s="11" t="str">
        <x:v>ISSUED/ACTIVE tarihsel lifecycle değeridir; etkin geçerlilikten ayrı gösterilir.</x:v>
      </x:c>
      <x:c r="I39" s="11" t="str">
        <x:v>Sunucu</x:v>
      </x:c>
      <x:c r="J39" s="11" t="str">
        <x:v>HT01, HR01</x:v>
      </x:c>
      <x:c r="K39" s="11" t="str">
        <x:v>HSE-G04</x:v>
      </x:c>
      <x:c r="L39" s="11" t="str">
        <x:v>NEW-PROPOSED</x:v>
      </x:c>
    </x:row>
    <x:row r="40" ht="40.5" customHeight="1">
      <x:c r="A40" s="11" t="str">
        <x:v>N35</x:v>
      </x:c>
      <x:c r="B40" s="11" t="str">
        <x:v>Permit</x:v>
      </x:c>
      <x:c r="C40" s="11" t="str">
        <x:v>effective_authorization</x:v>
      </x:c>
      <x:c r="D40" s="11" t="str">
        <x:v>Güncel etkin yetki</x:v>
      </x:c>
      <x:c r="E40" s="11" t="str">
        <x:v>1</x:v>
      </x:c>
      <x:c r="F40" s="11" t="str">
        <x:v>Derived decision + reasons/version/time</x:v>
      </x:c>
      <x:c r="G40" s="11" t="str">
        <x:v>Her operasyonel gösterim ve komut.</x:v>
      </x:c>
      <x:c r="H40" s="11" t="str">
        <x:v>UNCONFIRMED/VALID/REVIEW_REQUIRED/SUSPENDED/EXPIRED aday değerler. Güncel kanıt ve yetki olmadan VALID yok.</x:v>
      </x:c>
      <x:c r="I40" s="11" t="str">
        <x:v>Sunucu + yetkili insan</x:v>
      </x:c>
      <x:c r="J40" s="11" t="str">
        <x:v>HR01</x:v>
      </x:c>
      <x:c r="K40" s="11" t="str">
        <x:v>HSE-G04, HSE-G07</x:v>
      </x:c>
      <x:c r="L40" s="11" t="str">
        <x:v>NEW-PROPOSED</x:v>
      </x:c>
    </x:row>
    <x:row r="41" ht="40.5" customHeight="1">
      <x:c r="A41" s="11" t="str">
        <x:v>N36</x:v>
      </x:c>
      <x:c r="B41" s="11" t="str">
        <x:v>Permit</x:v>
      </x:c>
      <x:c r="C41" s="11" t="str">
        <x:v>validity_checked_at / authoritative_version</x:v>
      </x:c>
      <x:c r="D41" s="11" t="str">
        <x:v>Güncellik kanıtı</x:v>
      </x:c>
      <x:c r="E41" s="11" t="str">
        <x:v>1</x:v>
      </x:c>
      <x:c r="F41" s="11" t="str">
        <x:v>UTC timestamp + version/freshness profile</x:v>
      </x:c>
      <x:c r="G41" s="11" t="str">
        <x:v>Geçerli olduğu gösterilecekse.</x:v>
      </x:c>
      <x:c r="H41" s="11" t="str">
        <x:v>Cache ACTIVE current authority değildir. Bilinmeyen saat/güncellik VALID sonucunu engeller.</x:v>
      </x:c>
      <x:c r="I41" s="11" t="str">
        <x:v>Sunucu</x:v>
      </x:c>
      <x:c r="J41" s="11" t="str">
        <x:v>HR01</x:v>
      </x:c>
      <x:c r="K41" s="11" t="str">
        <x:v>HSE-G07</x:v>
      </x:c>
      <x:c r="L41" s="11" t="str">
        <x:v>NEW-PROPOSED</x:v>
      </x:c>
    </x:row>
    <x:row r="42" ht="40.5" customHeight="1">
      <x:c r="A42" s="11" t="str">
        <x:v>N37</x:v>
      </x:c>
      <x:c r="B42" s="11" t="str">
        <x:v>Permit</x:v>
      </x:c>
      <x:c r="C42" s="11" t="str">
        <x:v>suspension_events[]</x:v>
      </x:c>
      <x:c r="D42" s="11" t="str">
        <x:v>Askı / yeniden değerlendirme</x:v>
      </x:c>
      <x:c r="E42" s="11" t="str">
        <x:v>0..n</x:v>
      </x:c>
      <x:c r="F42" s="11" t="str">
        <x:v>Reason/time/actor/affected refs</x:v>
      </x:c>
      <x:c r="G42" s="11" t="str">
        <x:v>Kritik koşul, RA, ekip, izolasyon veya kanıt değişiminde.</x:v>
      </x:c>
      <x:c r="H42" s="11" t="str">
        <x:v>Eski izin üstüne yazılmaz. Onaylı profil yeni izin istiyorsa resume yerine yeni süreç.</x:v>
      </x:c>
      <x:c r="I42" s="11" t="str">
        <x:v>Yetkili saha + izin veren</x:v>
      </x:c>
      <x:c r="J42" s="11" t="str">
        <x:v>H1, HR01</x:v>
      </x:c>
      <x:c r="K42" s="11" t="str">
        <x:v>HSE-G04</x:v>
      </x:c>
      <x:c r="L42" s="11" t="str">
        <x:v>NEW-PROPOSED</x:v>
      </x:c>
    </x:row>
    <x:row r="43" ht="40.5" customHeight="1">
      <x:c r="A43" s="11" t="str">
        <x:v>N38</x:v>
      </x:c>
      <x:c r="B43" s="11" t="str">
        <x:v>Permit</x:v>
      </x:c>
      <x:c r="C43" s="11" t="str">
        <x:v>handback_record</x:v>
      </x:c>
      <x:c r="D43" s="11" t="str">
        <x:v>İş teslim kaydı</x:v>
      </x:c>
      <x:c r="E43" s="11" t="str">
        <x:v>0..1</x:v>
      </x:c>
      <x:c r="F43" s="11" t="str">
        <x:v>Structured condition/event refs</x:v>
      </x:c>
      <x:c r="G43" s="11" t="str">
        <x:v>İş tamamlanınca.</x:v>
      </x:c>
      <x:c r="H43" s="11" t="str">
        <x:v>Personel/alet kontrolü, mahal ve ekipman durumu, vardiya bilgilendirme kayıtları; operasyon talimatı değil.</x:v>
      </x:c>
      <x:c r="I43" s="11" t="str">
        <x:v>İş yürütücüsü + teslim alan</x:v>
      </x:c>
      <x:c r="J43" s="11" t="str">
        <x:v>H14</x:v>
      </x:c>
      <x:c r="K43" s="11" t="str">
        <x:v>HSE-G03</x:v>
      </x:c>
      <x:c r="L43" s="11" t="str">
        <x:v>NEW-PROPOSED</x:v>
      </x:c>
    </x:row>
    <x:row r="44" ht="40.5" customHeight="1">
      <x:c r="A44" s="11" t="str">
        <x:v>N39</x:v>
      </x:c>
      <x:c r="B44" s="11" t="str">
        <x:v>Permit</x:v>
      </x:c>
      <x:c r="C44" s="11" t="str">
        <x:v>closure_event</x:v>
      </x:c>
      <x:c r="D44" s="11" t="str">
        <x:v>İzin kapanışı</x:v>
      </x:c>
      <x:c r="E44" s="11" t="str">
        <x:v>0..1</x:v>
      </x:c>
      <x:c r="F44" s="11" t="str">
        <x:v>Human command + audit</x:v>
      </x:c>
      <x:c r="G44" s="11" t="str">
        <x:v>Teslim ve profil koşulları sağlandığında.</x:v>
      </x:c>
      <x:c r="H44" s="11" t="str">
        <x:v>Close ne izolasyon kaldırır ne ekipmanı devreye alır. Ayrı yetki/komut gerekir.</x:v>
      </x:c>
      <x:c r="I44" s="11" t="str">
        <x:v>Yetkili kapatan</x:v>
      </x:c>
      <x:c r="J44" s="11" t="str">
        <x:v>H14, HT01</x:v>
      </x:c>
      <x:c r="K44" s="11" t="str">
        <x:v>HSE-G04, HSE-G05</x:v>
      </x:c>
      <x:c r="L44" s="11" t="str">
        <x:v>NEW-PROPOSED</x:v>
      </x:c>
    </x:row>
    <x:row r="45" ht="40.5" customHeight="1">
      <x:c r="A45" s="11" t="str">
        <x:v>N40</x:v>
      </x:c>
      <x:c r="B45" s="11" t="str">
        <x:v>Kanıt / kayıt</x:v>
      </x:c>
      <x:c r="C45" s="11" t="str">
        <x:v>evidence_refs[]</x:v>
      </x:c>
      <x:c r="D45" s="11" t="str">
        <x:v>Kanıt erişimi / sürümü</x:v>
      </x:c>
      <x:c r="E45" s="11" t="str">
        <x:v>0..n</x:v>
      </x:c>
      <x:c r="F45" s="11" t="str">
        <x:v>Document ID + version + status</x:v>
      </x:c>
      <x:c r="G45" s="11" t="str">
        <x:v>İlgili kabul/izin önkoşulunda.</x:v>
      </x:c>
      <x:c r="H45" s="11" t="str">
        <x:v>Upload kanıtın güvenli/onaylı olduğu anlamına gelmez. Quarantined belge okunamaz veya önkoşulda kullanılamaz.</x:v>
      </x:c>
      <x:c r="I45" s="11" t="str">
        <x:v>Kanıt sahibi + sunucu</x:v>
      </x:c>
      <x:c r="J45" s="11" t="str">
        <x:v>HT01, HR01</x:v>
      </x:c>
      <x:c r="K45" s="11" t="str">
        <x:v>HSE-G06</x:v>
      </x:c>
      <x:c r="L45" s="11" t="str">
        <x:v>NEW-PROPOSED</x:v>
      </x:c>
    </x:row>
    <x:row r="46" ht="40.5" customHeight="1">
      <x:c r="A46" s="11" t="str">
        <x:v>N41</x:v>
      </x:c>
      <x:c r="B46" s="11" t="str">
        <x:v>Kanıt / kayıt</x:v>
      </x:c>
      <x:c r="C46" s="11" t="str">
        <x:v>signature_policy_revision</x:v>
      </x:c>
      <x:c r="D46" s="11" t="str">
        <x:v>İmza / vekalet politikası</x:v>
      </x:c>
      <x:c r="E46" s="11" t="str">
        <x:v>1</x:v>
      </x:c>
      <x:c r="F46" s="11" t="str">
        <x:v>Versioned policy ref</x:v>
      </x:c>
      <x:c r="G46" s="11" t="str">
        <x:v>İmza gerektiren kararda.</x:v>
      </x:c>
      <x:c r="H46" s="11" t="str">
        <x:v>Elektronik kayıt izni, her e-imzanın hukuken yeterli olduğunu göstermez. Yetki/saklama uzman kapısında.</x:v>
      </x:c>
      <x:c r="I46" s="11" t="str">
        <x:v>Hukuk + SMS sahibi</x:v>
      </x:c>
      <x:c r="J46" s="11" t="str">
        <x:v>H11, H14</x:v>
      </x:c>
      <x:c r="K46" s="11" t="str">
        <x:v>HSE-G06</x:v>
      </x:c>
      <x:c r="L46" s="11" t="str">
        <x:v>NEW-PROPOSED</x:v>
      </x:c>
    </x:row>
    <x:row r="47" ht="40.5" customHeight="1">
      <x:c r="A47" s="11" t="str">
        <x:v>N42</x:v>
      </x:c>
      <x:c r="B47" s="11" t="str">
        <x:v>Kanıt / kayıt</x:v>
      </x:c>
      <x:c r="C47" s="11" t="str">
        <x:v>audit_events[]</x:v>
      </x:c>
      <x:c r="D47" s="11" t="str">
        <x:v>Değişmez işlem izi</x:v>
      </x:c>
      <x:c r="E47" s="11" t="str">
        <x:v>1..n</x:v>
      </x:c>
      <x:c r="F47" s="11" t="str">
        <x:v>Append-only event records</x:v>
      </x:c>
      <x:c r="G47" s="11" t="str">
        <x:v>Her state/revision/karar komutunda.</x:v>
      </x:c>
      <x:c r="H47" s="11" t="str">
        <x:v>Action/revision/payload fingerprint; safe-history asgari veri. Klinik sağlık verisi taşınmaz.</x:v>
      </x:c>
      <x:c r="I47" s="11" t="str">
        <x:v>Sunucu</x:v>
      </x:c>
      <x:c r="J47" s="11" t="str">
        <x:v>HT01</x:v>
      </x:c>
      <x:c r="K47" s="11" t="str">
        <x:v>HSE-G05, HSE-G06</x:v>
      </x:c>
      <x:c r="L47" s="11" t="str">
        <x:v>NEW-PROPOSED</x:v>
      </x:c>
    </x:row>
    <x:row r="48" ht="40.5" customHeight="1">
      <x:c r="A48" s="11" t="str">
        <x:v>N43</x:v>
      </x:c>
      <x:c r="B48" s="11" t="str">
        <x:v>Offline</x:v>
      </x:c>
      <x:c r="C48" s="11" t="str">
        <x:v>sync_state / conflict_refs[]</x:v>
      </x:c>
      <x:c r="D48" s="11" t="str">
        <x:v>Senkronizasyon / çatışma</x:v>
      </x:c>
      <x:c r="E48" s="11" t="str">
        <x:v>1 + 0..n</x:v>
      </x:c>
      <x:c r="F48" s="11" t="str">
        <x:v>Versioned sync metadata</x:v>
      </x:c>
      <x:c r="G48" s="11" t="str">
        <x:v>Bağlantı kesildi veya gecikmeli olay varsa.</x:v>
      </x:c>
      <x:c r="H48" s="11" t="str">
        <x:v>Offline draft olabilir; issue/resume/extension garantisi yok. Reconnect güncel sürüm/çatışma/yetki uzlaştırır.</x:v>
      </x:c>
      <x:c r="I48" s="11" t="str">
        <x:v>Sunucu + yetkili inceleyen</x:v>
      </x:c>
      <x:c r="J48" s="11" t="str">
        <x:v>HT01, HR01</x:v>
      </x:c>
      <x:c r="K48" s="11" t="str">
        <x:v>HSE-G07</x:v>
      </x:c>
      <x:c r="L48" s="11" t="str">
        <x:v>NEW-PROPOSED</x:v>
      </x:c>
    </x:row>
    <x:row r="49" ht="40.5" customHeight="1">
      <x:c r="A49" s="11" t="str">
        <x:v>N44</x:v>
      </x:c>
      <x:c r="B49" s="11" t="str">
        <x:v>Offline</x:v>
      </x:c>
      <x:c r="C49" s="11" t="str">
        <x:v>local_continuity_record_ref</x:v>
      </x:c>
      <x:c r="D49" s="11" t="str">
        <x:v>Yerel devamlılık referansı</x:v>
      </x:c>
      <x:c r="E49" s="11" t="str">
        <x:v>0..1</x:v>
      </x:c>
      <x:c r="F49" s="11" t="str">
        <x:v>Approved external procedure ref</x:v>
      </x:c>
      <x:c r="G49" s="11" t="str">
        <x:v>Şirketin yetkili devamlılık prosedürü varsa.</x:v>
      </x:c>
      <x:c r="H49" s="11" t="str">
        <x:v>Uygulama bypass değil. Yerel prosedür ve olay kayıtları ayrı yönetişimle ilişkilendirilir.</x:v>
      </x:c>
      <x:c r="I49" s="11" t="str">
        <x:v>SMS/operasyon yetkilisi</x:v>
      </x:c>
      <x:c r="J49" s="11" t="str">
        <x:v>HR01</x:v>
      </x:c>
      <x:c r="K49" s="11" t="str">
        <x:v>HSE-G07</x:v>
      </x:c>
      <x:c r="L49" s="11" t="str">
        <x:v>NEW-PROPOSED</x:v>
      </x:c>
    </x:row>
    <x:row r="50" ht="40.5" customHeight="1">
      <x:c r="A50" s="11" t="str">
        <x:v>N45</x:v>
      </x:c>
      <x:c r="B50" s="11" t="str">
        <x:v>Command</x:v>
      </x:c>
      <x:c r="C50" s="11" t="str">
        <x:v>etag / idempotency_key</x:v>
      </x:c>
      <x:c r="D50" s="11" t="str">
        <x:v>Eşzamanlılık / tekrar</x:v>
      </x:c>
      <x:c r="E50" s="11" t="str">
        <x:v>1</x:v>
      </x:c>
      <x:c r="F50" s="11" t="str">
        <x:v>Opaque key + version</x:v>
      </x:c>
      <x:c r="G50" s="11" t="str">
        <x:v>Unsafe yazma komutlarında.</x:v>
      </x:c>
      <x:c r="H50" s="11" t="str">
        <x:v>CSRF+scope+action grant; replay güncel erişim ve özgün yetkiyi denetler. Kayıp yanıtta belirsiz anahtar korunur.</x:v>
      </x:c>
      <x:c r="I50" s="11" t="str">
        <x:v>Sunucu</x:v>
      </x:c>
      <x:c r="J50" s="11" t="str">
        <x:v>HT01</x:v>
      </x:c>
      <x:c r="K50" s="11" t="str">
        <x:v>HSE-G05</x:v>
      </x:c>
      <x:c r="L50" s="11" t="str">
        <x:v>NEW-PROPOSED</x:v>
      </x:c>
    </x:row>
    <x:row r="51" ht="40.5" customHeight="1">
      <x:c r="A51" s="11" t="str">
        <x:v>N46</x:v>
      </x:c>
      <x:c r="B51" s="11" t="str">
        <x:v>Release</x:v>
      </x:c>
      <x:c r="C51" s="11" t="str">
        <x:v>enabled_family_profile</x:v>
      </x:c>
      <x:c r="D51" s="11" t="str">
        <x:v>Etkin aile ve güvenlik kapısı</x:v>
      </x:c>
      <x:c r="E51" s="11" t="str">
        <x:v>1</x:v>
      </x:c>
      <x:c r="F51" s="11" t="str">
        <x:v>Approved versioned configuration</x:v>
      </x:c>
      <x:c r="G51" s="11" t="str">
        <x:v>Operasyonel aile açılacaksa.</x:v>
      </x:c>
      <x:c r="H51" s="11" t="str">
        <x:v>HSE-P2-01: etkin ailenin izolasyon/SIMOPS/yetkinlik/kanıt dahil bütün ilgili önkoşulları uygulanmadan operasyonel kullanım yok.</x:v>
      </x:c>
      <x:c r="I51" s="11" t="str">
        <x:v>SMS sahibi + QA + release</x:v>
      </x:c>
      <x:c r="J51" s="11" t="str">
        <x:v>HR01</x:v>
      </x:c>
      <x:c r="K51" s="11" t="str">
        <x:v>HSE-G03, HSE-G08</x:v>
      </x:c>
      <x:c r="L51" s="11" t="str">
        <x:v>NEW-PROPOSED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0e801a0ffa364d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25" hidden="0" customWidth="1"/>
    <x:col min="4" max="4" width="19" hidden="0" customWidth="1"/>
    <x:col min="5" max="5" width="14" hidden="0" customWidth="1"/>
    <x:col min="6" max="6" width="21" hidden="0" customWidth="1"/>
    <x:col min="7" max="7" width="50" hidden="0" customWidth="1"/>
    <x:col min="8" max="8" width="22" hidden="0" customWidth="1"/>
    <x:col min="9" max="9" width="13" hidden="0" customWidth="1"/>
    <x:col min="10" max="10" width="20.5" hidden="0" customWidth="1"/>
    <x:col min="11" max="11" width="13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Tekrar eden iş adımı, tehlike ve kontrol sözleşmesi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5" t="str">
        <x:v>JSA → steps[] → hazards[] → controls[]. Her satır sabit kimlikle takip edilir; örnek risk puanı verilmez.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1.5" customHeight="1">
      <x:c r="A5" s="10" t="str">
        <x:v>Satır ID</x:v>
      </x:c>
      <x:c r="B5" s="10" t="str">
        <x:v>Tekrar grubu</x:v>
      </x:c>
      <x:c r="C5" s="10" t="str">
        <x:v>Mantıksal alan</x:v>
      </x:c>
      <x:c r="D5" s="10" t="str">
        <x:v>TR etiketi</x:v>
      </x:c>
      <x:c r="E5" s="10" t="str">
        <x:v>Kardinalite</x:v>
      </x:c>
      <x:c r="F5" s="10" t="str">
        <x:v>Tür</x:v>
      </x:c>
      <x:c r="G5" s="10" t="str">
        <x:v>Doğrulama / kabul koşulu</x:v>
      </x:c>
      <x:c r="H5" s="10" t="str">
        <x:v>Önerilen rol</x:v>
      </x:c>
      <x:c r="I5" s="10" t="str">
        <x:v>Kaynak ID</x:v>
      </x:c>
      <x:c r="J5" s="10" t="str">
        <x:v>Mevcut alan ilişkisi</x:v>
      </x:c>
      <x:c r="K5" s="10" t="str">
        <x:v>Durum</x:v>
      </x:c>
    </x:row>
    <x:row r="6" ht="36" customHeight="1">
      <x:c r="A6" s="11" t="str">
        <x:v>J01</x:v>
      </x:c>
      <x:c r="B6" s="11" t="str">
        <x:v>steps[]</x:v>
      </x:c>
      <x:c r="C6" s="11" t="str">
        <x:v>step_id / order</x:v>
      </x:c>
      <x:c r="D6" s="11" t="str">
        <x:v>İş adımı / sıra</x:v>
      </x:c>
      <x:c r="E6" s="11" t="str">
        <x:v>1..n / JSA</x:v>
      </x:c>
      <x:c r="F6" s="11" t="str">
        <x:v>Stable ID + positive integer</x:v>
      </x:c>
      <x:c r="G6" s="11" t="str">
        <x:v>Her adımda tekil sıra; satır ekle/sil/taşı sonrası referanslar kaymaz.</x:v>
      </x:c>
      <x:c r="H6" s="11" t="str">
        <x:v>Hazırlayan</x:v>
      </x:c>
      <x:c r="I6" s="11" t="str">
        <x:v>HT01</x:v>
      </x:c>
      <x:c r="J6" s="11" t="str">
        <x:v>job_step</x:v>
      </x:c>
      <x:c r="K6" s="11" t="str">
        <x:v>NEW-PROPOSED</x:v>
      </x:c>
    </x:row>
    <x:row r="7" ht="36" customHeight="1">
      <x:c r="A7" s="11" t="str">
        <x:v>J02</x:v>
      </x:c>
      <x:c r="B7" s="11" t="str">
        <x:v>steps[]</x:v>
      </x:c>
      <x:c r="C7" s="11" t="str">
        <x:v>step_description</x:v>
      </x:c>
      <x:c r="D7" s="11" t="str">
        <x:v>Adım açıklaması</x:v>
      </x:c>
      <x:c r="E7" s="11" t="str">
        <x:v>1 / step</x:v>
      </x:c>
      <x:c r="F7" s="11" t="str">
        <x:v>Text</x:v>
      </x:c>
      <x:c r="G7" s="11" t="str">
        <x:v>İşin kapsamıyla uyumlu. İlk12 alan önizlemesiyle sınırlanmaz.</x:v>
      </x:c>
      <x:c r="H7" s="11" t="str">
        <x:v>Hazırlayan + ekip</x:v>
      </x:c>
      <x:c r="I7" s="11" t="str">
        <x:v>HT01</x:v>
      </x:c>
      <x:c r="J7" s="11" t="str">
        <x:v>job_step</x:v>
      </x:c>
      <x:c r="K7" s="11" t="str">
        <x:v>NEW-PROPOSED</x:v>
      </x:c>
    </x:row>
    <x:row r="8" ht="36" customHeight="1">
      <x:c r="A8" s="11" t="str">
        <x:v>J03</x:v>
      </x:c>
      <x:c r="B8" s="11" t="str">
        <x:v>steps[].hazards[]</x:v>
      </x:c>
      <x:c r="C8" s="11" t="str">
        <x:v>hazard_id / description</x:v>
      </x:c>
      <x:c r="D8" s="11" t="str">
        <x:v>Tehlike</x:v>
      </x:c>
      <x:c r="E8" s="11" t="str">
        <x:v>1..n / step</x:v>
      </x:c>
      <x:c r="F8" s="11" t="str">
        <x:v>Stable ID + text</x:v>
      </x:c>
      <x:c r="G8" s="11" t="str">
        <x:v>Her adımda çoklu tehlike. Hazır katalog tek başına değerlendirme değil.</x:v>
      </x:c>
      <x:c r="H8" s="11" t="str">
        <x:v>Ekip + uzman</x:v>
      </x:c>
      <x:c r="I8" s="11" t="str">
        <x:v>H11, H12</x:v>
      </x:c>
      <x:c r="J8" s="11" t="str">
        <x:v>hazard</x:v>
      </x:c>
      <x:c r="K8" s="11" t="str">
        <x:v>NEW-PROPOSED</x:v>
      </x:c>
    </x:row>
    <x:row r="9" ht="36" customHeight="1">
      <x:c r="A9" s="11" t="str">
        <x:v>J04</x:v>
      </x:c>
      <x:c r="B9" s="11" t="str">
        <x:v>hazards[]</x:v>
      </x:c>
      <x:c r="C9" s="11" t="str">
        <x:v>consequences[]</x:v>
      </x:c>
      <x:c r="D9" s="11" t="str">
        <x:v>Olası sonuçlar</x:v>
      </x:c>
      <x:c r="E9" s="11" t="str">
        <x:v>1..n / hazard</x:v>
      </x:c>
      <x:c r="F9" s="11" t="str">
        <x:v>Text / controlled reference</x:v>
      </x:c>
      <x:c r="G9" s="11" t="str">
        <x:v>Tehlike ile sonuç ayrı; birden fazla sonuç korunur.</x:v>
      </x:c>
      <x:c r="H9" s="11" t="str">
        <x:v>Risk değerlendirici</x:v>
      </x:c>
      <x:c r="I9" s="11" t="str">
        <x:v>H11</x:v>
      </x:c>
      <x:c r="J9" s="11" t="str">
        <x:v>consequence</x:v>
      </x:c>
      <x:c r="K9" s="11" t="str">
        <x:v>NEW-PROPOSED</x:v>
      </x:c>
    </x:row>
    <x:row r="10" ht="36" customHeight="1">
      <x:c r="A10" s="11" t="str">
        <x:v>J05</x:v>
      </x:c>
      <x:c r="B10" s="11" t="str">
        <x:v>hazards[]</x:v>
      </x:c>
      <x:c r="C10" s="11" t="str">
        <x:v>affected_groups[]</x:v>
      </x:c>
      <x:c r="D10" s="11" t="str">
        <x:v>Etkilenebilecek kişiler</x:v>
      </x:c>
      <x:c r="E10" s="11" t="str">
        <x:v>1..n / hazard</x:v>
      </x:c>
      <x:c r="F10" s="11" t="str">
        <x:v>Group/role refs</x:v>
      </x:c>
      <x:c r="G10" s="11" t="str">
        <x:v>Çalışan/taşeron/diğer maruz kalma grupları; kişisel sağlık bilgisi yok.</x:v>
      </x:c>
      <x:c r="H10" s="11" t="str">
        <x:v>Ekip + uzman</x:v>
      </x:c>
      <x:c r="I10" s="11" t="str">
        <x:v>H11</x:v>
      </x:c>
      <x:c r="J10" s="11" t="str">
        <x:v>NEW</x:v>
      </x:c>
      <x:c r="K10" s="11" t="str">
        <x:v>NEW-PROPOSED</x:v>
      </x:c>
    </x:row>
    <x:row r="11" ht="36" customHeight="1">
      <x:c r="A11" s="11" t="str">
        <x:v>J06</x:v>
      </x:c>
      <x:c r="B11" s="11" t="str">
        <x:v>hazards[]</x:v>
      </x:c>
      <x:c r="C11" s="11" t="str">
        <x:v>existing_controls[]</x:v>
      </x:c>
      <x:c r="D11" s="11" t="str">
        <x:v>Mevcut kontroller</x:v>
      </x:c>
      <x:c r="E11" s="11" t="str">
        <x:v>0..n / hazard</x:v>
      </x:c>
      <x:c r="F11" s="11" t="str">
        <x:v>Control refs + evidence state</x:v>
      </x:c>
      <x:c r="G11" s="11" t="str">
        <x:v>Bir kontrolün yazılı olması etkili/güncel olduğunu ispatlamaz.</x:v>
      </x:c>
      <x:c r="H11" s="11" t="str">
        <x:v>Kontrol sahibi</x:v>
      </x:c>
      <x:c r="I11" s="11" t="str">
        <x:v>H2, H11</x:v>
      </x:c>
      <x:c r="J11" s="11" t="str">
        <x:v>control_measures</x:v>
      </x:c>
      <x:c r="K11" s="11" t="str">
        <x:v>NEW-PROPOSED</x:v>
      </x:c>
    </x:row>
    <x:row r="12" ht="36" customHeight="1">
      <x:c r="A12" s="11" t="str">
        <x:v>J07</x:v>
      </x:c>
      <x:c r="B12" s="11" t="str">
        <x:v>hazards[]</x:v>
      </x:c>
      <x:c r="C12" s="11" t="str">
        <x:v>risk_method_version</x:v>
      </x:c>
      <x:c r="D12" s="11" t="str">
        <x:v>Değerlendirme yöntemi</x:v>
      </x:c>
      <x:c r="E12" s="11" t="str">
        <x:v>1 / rated hazard</x:v>
      </x:c>
      <x:c r="F12" s="11" t="str">
        <x:v>Versioned FK</x:v>
      </x:c>
      <x:c r="G12" s="11" t="str">
        <x:v>Tanım/skala/kabul kriteri onaylı değilse skor üretilmez;5×5 default yok.</x:v>
      </x:c>
      <x:c r="H12" s="11" t="str">
        <x:v>Yetkili uzman</x:v>
      </x:c>
      <x:c r="I12" s="11" t="str">
        <x:v>H10, HT01</x:v>
      </x:c>
      <x:c r="J12" s="11" t="str">
        <x:v>NEW</x:v>
      </x:c>
      <x:c r="K12" s="11" t="str">
        <x:v>NEW-PROPOSED</x:v>
      </x:c>
    </x:row>
    <x:row r="13" ht="36" customHeight="1">
      <x:c r="A13" s="11" t="str">
        <x:v>J08</x:v>
      </x:c>
      <x:c r="B13" s="11" t="str">
        <x:v>hazards[]</x:v>
      </x:c>
      <x:c r="C13" s="11" t="str">
        <x:v>initial_likelihood</x:v>
      </x:c>
      <x:c r="D13" s="11" t="str">
        <x:v>İlk olasılık</x:v>
      </x:c>
      <x:c r="E13" s="11" t="str">
        <x:v>0..1 / hazard</x:v>
      </x:c>
      <x:c r="F13" s="11" t="str">
        <x:v>Method-defined value</x:v>
      </x:c>
      <x:c r="G13" s="11" t="str">
        <x:v>Yöntem gerektiriyorsa; blank bilinmiyor,0 değil.</x:v>
      </x:c>
      <x:c r="H13" s="11" t="str">
        <x:v>Risk değerlendirici</x:v>
      </x:c>
      <x:c r="I13" s="11" t="str">
        <x:v>H10, H11</x:v>
      </x:c>
      <x:c r="J13" s="11" t="str">
        <x:v>initial_likelihood</x:v>
      </x:c>
      <x:c r="K13" s="11" t="str">
        <x:v>NEW-PROPOSED</x:v>
      </x:c>
    </x:row>
    <x:row r="14" ht="36" customHeight="1">
      <x:c r="A14" s="11" t="str">
        <x:v>J09</x:v>
      </x:c>
      <x:c r="B14" s="11" t="str">
        <x:v>hazards[]</x:v>
      </x:c>
      <x:c r="C14" s="11" t="str">
        <x:v>initial_severity</x:v>
      </x:c>
      <x:c r="D14" s="11" t="str">
        <x:v>İlk şiddet</x:v>
      </x:c>
      <x:c r="E14" s="11" t="str">
        <x:v>0..1 / hazard</x:v>
      </x:c>
      <x:c r="F14" s="11" t="str">
        <x:v>Method-defined value</x:v>
      </x:c>
      <x:c r="G14" s="11" t="str">
        <x:v>Yöntem tanımlarıyla uyum. Sayısal eşik bu dosyada verilmez.</x:v>
      </x:c>
      <x:c r="H14" s="11" t="str">
        <x:v>Risk değerlendirici</x:v>
      </x:c>
      <x:c r="I14" s="11" t="str">
        <x:v>H10, H11</x:v>
      </x:c>
      <x:c r="J14" s="11" t="str">
        <x:v>initial_severity</x:v>
      </x:c>
      <x:c r="K14" s="11" t="str">
        <x:v>NEW-PROPOSED</x:v>
      </x:c>
    </x:row>
    <x:row r="15" ht="36" customHeight="1">
      <x:c r="A15" s="11" t="str">
        <x:v>J10</x:v>
      </x:c>
      <x:c r="B15" s="11" t="str">
        <x:v>hazards[]</x:v>
      </x:c>
      <x:c r="C15" s="11" t="str">
        <x:v>initial_risk</x:v>
      </x:c>
      <x:c r="D15" s="11" t="str">
        <x:v>İlk risk</x:v>
      </x:c>
      <x:c r="E15" s="11" t="str">
        <x:v>0..1 / hazard</x:v>
      </x:c>
      <x:c r="F15" s="11" t="str">
        <x:v>Method-defined result</x:v>
      </x:c>
      <x:c r="G15" s="11" t="str">
        <x:v>Yalnız onaylı yöntem hesaplar; düşük sonuç otomatik izin değildir.</x:v>
      </x:c>
      <x:c r="H15" s="11" t="str">
        <x:v>Uzman + sistem</x:v>
      </x:c>
      <x:c r="I15" s="11" t="str">
        <x:v>H10, HT01</x:v>
      </x:c>
      <x:c r="J15" s="11" t="str">
        <x:v>initial_risk</x:v>
      </x:c>
      <x:c r="K15" s="11" t="str">
        <x:v>NEW-PROPOSED</x:v>
      </x:c>
    </x:row>
    <x:row r="16" ht="36" customHeight="1">
      <x:c r="A16" s="11" t="str">
        <x:v>J11</x:v>
      </x:c>
      <x:c r="B16" s="11" t="str">
        <x:v>hazards[].controls[]</x:v>
      </x:c>
      <x:c r="C16" s="11" t="str">
        <x:v>proposed_control</x:v>
      </x:c>
      <x:c r="D16" s="11" t="str">
        <x:v>İlave kontrol</x:v>
      </x:c>
      <x:c r="E16" s="11" t="str">
        <x:v>0..n / hazard</x:v>
      </x:c>
      <x:c r="F16" s="11" t="str">
        <x:v>Text + control ref</x:v>
      </x:c>
      <x:c r="G16" s="11" t="str">
        <x:v>Kontrol planı, gerçekleşme ve doğrulama birbirinden ayrıdır.</x:v>
      </x:c>
      <x:c r="H16" s="11" t="str">
        <x:v>Kontrol sahibi</x:v>
      </x:c>
      <x:c r="I16" s="11" t="str">
        <x:v>H11</x:v>
      </x:c>
      <x:c r="J16" s="11" t="str">
        <x:v>control_measures</x:v>
      </x:c>
      <x:c r="K16" s="11" t="str">
        <x:v>NEW-PROPOSED</x:v>
      </x:c>
    </x:row>
    <x:row r="17" ht="36" customHeight="1">
      <x:c r="A17" s="11" t="str">
        <x:v>J12</x:v>
      </x:c>
      <x:c r="B17" s="11" t="str">
        <x:v>controls[]</x:v>
      </x:c>
      <x:c r="C17" s="11" t="str">
        <x:v>owner_ref / due_at</x:v>
      </x:c>
      <x:c r="D17" s="11" t="str">
        <x:v>Sorumlu / hedef tarih</x:v>
      </x:c>
      <x:c r="E17" s="11" t="str">
        <x:v>1 / required control</x:v>
      </x:c>
      <x:c r="F17" s="11" t="str">
        <x:v>Scoped role + date</x:v>
      </x:c>
      <x:c r="G17" s="11" t="str">
        <x:v>Gerekli kontrolün sahibi ve tamamlanma koşulu eksikse kabul engeli.</x:v>
      </x:c>
      <x:c r="H17" s="11" t="str">
        <x:v>Kontrol sahibi</x:v>
      </x:c>
      <x:c r="I17" s="11" t="str">
        <x:v>H11</x:v>
      </x:c>
      <x:c r="J17" s="11" t="str">
        <x:v>control_owner</x:v>
      </x:c>
      <x:c r="K17" s="11" t="str">
        <x:v>NEW-PROPOSED</x:v>
      </x:c>
    </x:row>
    <x:row r="18" ht="36" customHeight="1">
      <x:c r="A18" s="11" t="str">
        <x:v>J13</x:v>
      </x:c>
      <x:c r="B18" s="11" t="str">
        <x:v>controls[]</x:v>
      </x:c>
      <x:c r="C18" s="11" t="str">
        <x:v>barrier_refs[]</x:v>
      </x:c>
      <x:c r="D18" s="11" t="str">
        <x:v>Bariyer bağlantıları</x:v>
      </x:c>
      <x:c r="E18" s="11" t="str">
        <x:v>0..n / control</x:v>
      </x:c>
      <x:c r="F18" s="11" t="str">
        <x:v>ID + version</x:v>
      </x:c>
      <x:c r="G18" s="11" t="str">
        <x:v>Kritik bariyer state/güncellik değişimi ilgili etkin izni etkiler.</x:v>
      </x:c>
      <x:c r="H18" s="11" t="str">
        <x:v>Kontrol sahibi</x:v>
      </x:c>
      <x:c r="I18" s="11" t="str">
        <x:v>HT01, HR01</x:v>
      </x:c>
      <x:c r="J18" s="11" t="str">
        <x:v>barrier_refs</x:v>
      </x:c>
      <x:c r="K18" s="11" t="str">
        <x:v>NEW-PROPOSED</x:v>
      </x:c>
    </x:row>
    <x:row r="19" ht="40.5" customHeight="1">
      <x:c r="A19" s="11" t="str">
        <x:v>J14</x:v>
      </x:c>
      <x:c r="B19" s="11" t="str">
        <x:v>controls[]</x:v>
      </x:c>
      <x:c r="C19" s="11" t="str">
        <x:v>verification_record</x:v>
      </x:c>
      <x:c r="D19" s="11" t="str">
        <x:v>Kontrol doğrulaması</x:v>
      </x:c>
      <x:c r="E19" s="11" t="str">
        <x:v>1 / required control</x:v>
      </x:c>
      <x:c r="F19" s="11" t="str">
        <x:v>Actor/time/evidence/status</x:v>
      </x:c>
      <x:c r="G19" s="11" t="str">
        <x:v>Güncel erişilebilir kanıt gerekir. Quarantined veya stale kanıt tamam sayılmaz.</x:v>
      </x:c>
      <x:c r="H19" s="11" t="str">
        <x:v>Yetkili doğrulayan</x:v>
      </x:c>
      <x:c r="I19" s="11" t="str">
        <x:v>HT01, HR01</x:v>
      </x:c>
      <x:c r="J19" s="11" t="str">
        <x:v>evidence_ref</x:v>
      </x:c>
      <x:c r="K19" s="11" t="str">
        <x:v>NEW-PROPOSED</x:v>
      </x:c>
    </x:row>
    <x:row r="20" ht="36" customHeight="1">
      <x:c r="A20" s="11" t="str">
        <x:v>J15</x:v>
      </x:c>
      <x:c r="B20" s="11" t="str">
        <x:v>hazards[]</x:v>
      </x:c>
      <x:c r="C20" s="11" t="str">
        <x:v>residual_likelihood</x:v>
      </x:c>
      <x:c r="D20" s="11" t="str">
        <x:v>Kalan olasılık</x:v>
      </x:c>
      <x:c r="E20" s="11" t="str">
        <x:v>0..1 / hazard</x:v>
      </x:c>
      <x:c r="F20" s="11" t="str">
        <x:v>Method-defined value</x:v>
      </x:c>
      <x:c r="G20" s="11" t="str">
        <x:v>Kontrol sonrası yöntem kaydı; eksik değer değerlendirilmedi.</x:v>
      </x:c>
      <x:c r="H20" s="11" t="str">
        <x:v>Risk değerlendirici</x:v>
      </x:c>
      <x:c r="I20" s="11" t="str">
        <x:v>H11</x:v>
      </x:c>
      <x:c r="J20" s="11" t="str">
        <x:v>residual_likelihood</x:v>
      </x:c>
      <x:c r="K20" s="11" t="str">
        <x:v>NEW-PROPOSED</x:v>
      </x:c>
    </x:row>
    <x:row r="21" ht="36" customHeight="1">
      <x:c r="A21" s="11" t="str">
        <x:v>J16</x:v>
      </x:c>
      <x:c r="B21" s="11" t="str">
        <x:v>hazards[]</x:v>
      </x:c>
      <x:c r="C21" s="11" t="str">
        <x:v>residual_severity</x:v>
      </x:c>
      <x:c r="D21" s="11" t="str">
        <x:v>Kalan şiddet</x:v>
      </x:c>
      <x:c r="E21" s="11" t="str">
        <x:v>0..1 / hazard</x:v>
      </x:c>
      <x:c r="F21" s="11" t="str">
        <x:v>Method-defined value</x:v>
      </x:c>
      <x:c r="G21" s="11" t="str">
        <x:v>İlk ve kalan sonuçlar ayrı revizyon/kanıtla saklanır.</x:v>
      </x:c>
      <x:c r="H21" s="11" t="str">
        <x:v>Risk değerlendirici</x:v>
      </x:c>
      <x:c r="I21" s="11" t="str">
        <x:v>H11</x:v>
      </x:c>
      <x:c r="J21" s="11" t="str">
        <x:v>residual_severity</x:v>
      </x:c>
      <x:c r="K21" s="11" t="str">
        <x:v>NEW-PROPOSED</x:v>
      </x:c>
    </x:row>
    <x:row r="22" ht="36" customHeight="1">
      <x:c r="A22" s="11" t="str">
        <x:v>J17</x:v>
      </x:c>
      <x:c r="B22" s="11" t="str">
        <x:v>hazards[]</x:v>
      </x:c>
      <x:c r="C22" s="11" t="str">
        <x:v>residual_risk</x:v>
      </x:c>
      <x:c r="D22" s="11" t="str">
        <x:v>Kalan risk</x:v>
      </x:c>
      <x:c r="E22" s="11" t="str">
        <x:v>0..1 / hazard</x:v>
      </x:c>
      <x:c r="F22" s="11" t="str">
        <x:v>Method-defined result</x:v>
      </x:c>
      <x:c r="G22" s="11" t="str">
        <x:v>Skor insan kabul kararı değildir; sonuç ve gerekçe ayrı.</x:v>
      </x:c>
      <x:c r="H22" s="11" t="str">
        <x:v>Risk değerlendirici</x:v>
      </x:c>
      <x:c r="I22" s="11" t="str">
        <x:v>H11, HT01</x:v>
      </x:c>
      <x:c r="J22" s="11" t="str">
        <x:v>residual_risk</x:v>
      </x:c>
      <x:c r="K22" s="11" t="str">
        <x:v>NEW-PROPOSED</x:v>
      </x:c>
    </x:row>
    <x:row r="23" ht="36" customHeight="1">
      <x:c r="A23" s="11" t="str">
        <x:v>J18</x:v>
      </x:c>
      <x:c r="B23" s="11" t="str">
        <x:v>hazards[]</x:v>
      </x:c>
      <x:c r="C23" s="11" t="str">
        <x:v>acceptance_decision</x:v>
      </x:c>
      <x:c r="D23" s="11" t="str">
        <x:v>İnsan risk kabulü</x:v>
      </x:c>
      <x:c r="E23" s="11" t="str">
        <x:v>1 / required review</x:v>
      </x:c>
      <x:c r="F23" s="11" t="str">
        <x:v>Decision + actor/time/reason</x:v>
      </x:c>
      <x:c r="G23" s="11" t="str">
        <x:v>Risk kabulü PTW issue/activate onayı sayılmaz.</x:v>
      </x:c>
      <x:c r="H23" s="11" t="str">
        <x:v>Yetkili risk kabul rolü</x:v>
      </x:c>
      <x:c r="I23" s="11" t="str">
        <x:v>HT01</x:v>
      </x:c>
      <x:c r="J23" s="11" t="str">
        <x:v>approval_state</x:v>
      </x:c>
      <x:c r="K23" s="11" t="str">
        <x:v>NEW-PROPOSED</x:v>
      </x:c>
    </x:row>
    <x:row r="24" ht="40.5" customHeight="1">
      <x:c r="A24" s="11" t="str">
        <x:v>J19</x:v>
      </x:c>
      <x:c r="B24" s="11" t="str">
        <x:v>steps[]</x:v>
      </x:c>
      <x:c r="C24" s="11" t="str">
        <x:v>stop_work_conditions[]</x:v>
      </x:c>
      <x:c r="D24" s="11" t="str">
        <x:v>Durdurma koşulları</x:v>
      </x:c>
      <x:c r="E24" s="11" t="str">
        <x:v>0..n / step</x:v>
      </x:c>
      <x:c r="F24" s="11" t="str">
        <x:v>Condition/profile refs</x:v>
      </x:c>
      <x:c r="G24" s="11" t="str">
        <x:v>Ciddi yeni koşul effective authorization değerini askıya/review-required yapar.</x:v>
      </x:c>
      <x:c r="H24" s="11" t="str">
        <x:v>Ekip + yetkili uzman</x:v>
      </x:c>
      <x:c r="I24" s="11" t="str">
        <x:v>H1, HR01</x:v>
      </x:c>
      <x:c r="J24" s="11" t="str">
        <x:v>stop_work_conditions</x:v>
      </x:c>
      <x:c r="K24" s="11" t="str">
        <x:v>NEW-PROPOSED</x:v>
      </x:c>
    </x:row>
    <x:row r="25" ht="36" customHeight="1">
      <x:c r="A25" s="11" t="str">
        <x:v>J20</x:v>
      </x:c>
      <x:c r="B25" s="11" t="str">
        <x:v>JSA revision</x:v>
      </x:c>
      <x:c r="C25" s="11" t="str">
        <x:v>participants[] / acknowledgements[]</x:v>
      </x:c>
      <x:c r="D25" s="11" t="str">
        <x:v>Katılım / teyit</x:v>
      </x:c>
      <x:c r="E25" s="11" t="str">
        <x:v>1..n / JSA</x:v>
      </x:c>
      <x:c r="F25" s="11" t="str">
        <x:v>Scoped actor + revision/time</x:v>
      </x:c>
      <x:c r="G25" s="11" t="str">
        <x:v>Teyit başka RA revizyonuna taşınmaz; katılımcı imzası izin yetkisi değildir.</x:v>
      </x:c>
      <x:c r="H25" s="11" t="str">
        <x:v>Ekip + iş yürütücüsü</x:v>
      </x:c>
      <x:c r="I25" s="11" t="str">
        <x:v>H11, H14</x:v>
      </x:c>
      <x:c r="J25" s="11" t="str">
        <x:v>participant_ack</x:v>
      </x:c>
      <x:c r="K25" s="11" t="str">
        <x:v>NEW-PROPOSED</x:v>
      </x:c>
    </x:row>
    <x:row r="26" ht="36" customHeight="1">
      <x:c r="A26" s="11" t="str">
        <x:v>J21</x:v>
      </x:c>
      <x:c r="B26" s="11" t="str">
        <x:v>JSA revision</x:v>
      </x:c>
      <x:c r="C26" s="11" t="str">
        <x:v>evidence_refs[]</x:v>
      </x:c>
      <x:c r="D26" s="11" t="str">
        <x:v>Ekler</x:v>
      </x:c>
      <x:c r="E26" s="11" t="str">
        <x:v>0..n / JSA</x:v>
      </x:c>
      <x:c r="F26" s="11" t="str">
        <x:v>Document ID/version/status</x:v>
      </x:c>
      <x:c r="G26" s="11" t="str">
        <x:v>Çalışma kapsamına bağlı kaynak; mevcut belge karantinası korunur.</x:v>
      </x:c>
      <x:c r="H26" s="11" t="str">
        <x:v>Hazırlayan + sunucu</x:v>
      </x:c>
      <x:c r="I26" s="11" t="str">
        <x:v>HT01</x:v>
      </x:c>
      <x:c r="J26" s="11" t="str">
        <x:v>evidence_ref</x:v>
      </x:c>
      <x:c r="K26" s="11" t="str">
        <x:v>NEW-PROPOSED</x:v>
      </x:c>
    </x:row>
    <x:row r="27" ht="40.5" customHeight="1">
      <x:c r="A27" s="11" t="str">
        <x:v>J22</x:v>
      </x:c>
      <x:c r="B27" s="11" t="str">
        <x:v>JSA revision</x:v>
      </x:c>
      <x:c r="C27" s="11" t="str">
        <x:v>review_reason / revision_event</x:v>
      </x:c>
      <x:c r="D27" s="11" t="str">
        <x:v>İnceleme / sürüm nedeni</x:v>
      </x:c>
      <x:c r="E27" s="11" t="str">
        <x:v>1 / submitted revision</x:v>
      </x:c>
      <x:c r="F27" s="11" t="str">
        <x:v>Narrative + event</x:v>
      </x:c>
      <x:c r="G27" s="11" t="str">
        <x:v>Baseline/template değişimi eski JSA onayını değiştirmez. Kritik etkiler açık yeniden yetki kapısına gider.</x:v>
      </x:c>
      <x:c r="H27" s="11" t="str">
        <x:v>İnceleyen + izin veren</x:v>
      </x:c>
      <x:c r="I27" s="11" t="str">
        <x:v>HT01, HR01</x:v>
      </x:c>
      <x:c r="J27" s="11" t="str">
        <x:v>NEW</x:v>
      </x:c>
      <x:c r="K27" s="11" t="str">
        <x:v>NEW-PROPOSED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840462a87c2248c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21.5" hidden="0" customWidth="1"/>
    <x:col min="3" max="3" width="34" hidden="0" customWidth="1"/>
    <x:col min="4" max="4" width="46" hidden="0" customWidth="1"/>
    <x:col min="5" max="5" width="42" hidden="0" customWidth="1"/>
    <x:col min="6" max="6" width="42" hidden="0" customWidth="1"/>
    <x:col min="7" max="7" width="26" hidden="0" customWidth="1"/>
    <x:col min="8" max="8" width="13" hidden="0" customWidth="1"/>
    <x:col min="9" max="9" width="19" hidden="0" customWidth="1"/>
    <x:col min="10" max="10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Koşullu izin ekleri ve önkoşullar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5" t="str">
        <x:v>Hiçbir aile operasyonel olarak etkin değildir. Aile listesi evrensel yasal zorunluluk değildir.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1.5" customHeight="1">
      <x:c r="A5" s="10" t="str">
        <x:v>Aile ID</x:v>
      </x:c>
      <x:c r="B5" s="10" t="str">
        <x:v>İzin ailesi</x:v>
      </x:c>
      <x:c r="C5" s="10" t="str">
        <x:v>Uygulanma koşulu</x:v>
      </x:c>
      <x:c r="D5" s="10" t="str">
        <x:v>Koşullu form alanları</x:v>
      </x:c>
      <x:c r="E5" s="10" t="str">
        <x:v>Etkinleştirme / doğrulama kapısı</x:v>
      </x:c>
      <x:c r="F5" s="10" t="str">
        <x:v>Değişiklik / kapanış sınırı</x:v>
      </x:c>
      <x:c r="G5" s="10" t="str">
        <x:v>Yetkili insan rolü</x:v>
      </x:c>
      <x:c r="H5" s="10" t="str">
        <x:v>Kaynak ID</x:v>
      </x:c>
      <x:c r="I5" s="10" t="str">
        <x:v>Kapı</x:v>
      </x:c>
      <x:c r="J5" s="10" t="str">
        <x:v>Durum</x:v>
      </x:c>
    </x:row>
    <x:row r="6" ht="40.5" customHeight="1">
      <x:c r="A6" s="11" t="str">
        <x:v>PF01</x:v>
      </x:c>
      <x:c r="B6" s="11" t="str">
        <x:v>Sıcak iş</x:v>
      </x:c>
      <x:c r="C6" s="11" t="str">
        <x:v>Risk/SMS ve uygulanabilir izin profili gerektiriyorsa.</x:v>
      </x:c>
      <x:c r="D6" s="11" t="str">
        <x:v>İş/mahal, ilişkili JSA, fire-watch rol teyidi, gerekli izolasyon/ölçüm kayıtları, ilgili komşu işler.</x:v>
      </x:c>
      <x:c r="E6" s="11" t="str">
        <x:v>Güncel onaylı kontroller, yetkin roller, SIMOPS, kanıt ve süre profili.</x:v>
      </x:c>
      <x:c r="F6" s="11" t="str">
        <x:v>Kritik ortam/kontrol değişimi etkin yetkiyi askıya veya REVIEW_REQUIRED yapar.</x:v>
      </x:c>
      <x:c r="G6" s="11" t="str">
        <x:v>Yetkili izin veren + ilgili saha/izolasyon rolleri</x:v>
      </x:c>
      <x:c r="H6" s="11" t="str">
        <x:v>H1, H14, HT01</x:v>
      </x:c>
      <x:c r="I6" s="11" t="str">
        <x:v>HSE-G03, HSE-G04</x:v>
      </x:c>
      <x:c r="J6" s="11" t="str">
        <x:v>NEW-PROPOSED / DEVRE DIŞI</x:v>
      </x:c>
    </x:row>
    <x:row r="7" ht="40.5" customHeight="1">
      <x:c r="A7" s="11" t="str">
        <x:v>PF02</x:v>
      </x:c>
      <x:c r="B7" s="11" t="str">
        <x:v>Kapalı alana giriş</x:v>
      </x:c>
      <x:c r="C7" s="11" t="str">
        <x:v>Alan değerlendirmesi ve onaylı gemi/SMS profili kapsamında.</x:v>
      </x:c>
      <x:c r="D7" s="11" t="str">
        <x:v>Alan ID, giriş ekibi/gözcü, ölçüm cihazı ve kanıtı, konum/zaman/birim/sonuç, acil plan ve hazırlık teyidi.</x:v>
      </x:c>
      <x:c r="E7" s="11" t="str">
        <x:v>Risk temelli süre, gerekli izolasyon ve ilave izinler. Gaz eşiği/ölçüm sıklığı bu dosyada yok.</x:v>
      </x:c>
      <x:c r="F7" s="11" t="str">
        <x:v>Havalandırma/kritik koşul veya gözetim değişimi profiline göre geçersizlik/yeni izin. Otomatik resume yok.</x:v>
      </x:c>
      <x:c r="G7" s="11" t="str">
        <x:v>Kaptan/atanmış yetkili + ilgili yetkin roller</x:v>
      </x:c>
      <x:c r="H7" s="11" t="str">
        <x:v>H1, H4</x:v>
      </x:c>
      <x:c r="I7" s="11" t="str">
        <x:v>HSE-G01, HSE-G03, HSE-G04</x:v>
      </x:c>
      <x:c r="J7" s="11" t="str">
        <x:v>NEW-PROPOSED / DEVRE DIŞI</x:v>
      </x:c>
    </x:row>
    <x:row r="8" ht="40.5" customHeight="1">
      <x:c r="A8" s="11" t="str">
        <x:v>PF03</x:v>
      </x:c>
      <x:c r="B8" s="11" t="str">
        <x:v>Yüksekte çalışma</x:v>
      </x:c>
      <x:c r="C8" s="11" t="str">
        <x:v>İş/risk/SMS gerektiriyorsa.</x:v>
      </x:c>
      <x:c r="D8" s="11" t="str">
        <x:v>Erişim sistemi, ekipman/yeterlik referansları, düşme kontrol ve kurtarma planı teyidi, ortam/mahal koşulları.</x:v>
      </x:c>
      <x:c r="E8" s="11" t="str">
        <x:v>Onaylı profil kontrolleri, uygun kanıt, SIMOPS ve yetkili saha incelemesi.</x:v>
      </x:c>
      <x:c r="F8" s="11" t="str">
        <x:v>Ekip/koşul/kontrol değişimi yeniden değerlendirme; süre otomatik uzamaz.</x:v>
      </x:c>
      <x:c r="G8" s="11" t="str">
        <x:v>Yetkili saha + izin veren</x:v>
      </x:c>
      <x:c r="H8" s="11" t="str">
        <x:v>H14, HT01</x:v>
      </x:c>
      <x:c r="I8" s="11" t="str">
        <x:v>HSE-G03, HSE-G04</x:v>
      </x:c>
      <x:c r="J8" s="11" t="str">
        <x:v>NEW-PROPOSED / DEVRE DIŞI</x:v>
      </x:c>
    </x:row>
    <x:row r="9" ht="40.5" customHeight="1">
      <x:c r="A9" s="11" t="str">
        <x:v>PF04</x:v>
      </x:c>
      <x:c r="B9" s="11" t="str">
        <x:v>Borda dışı çalışma</x:v>
      </x:c>
      <x:c r="C9" s="11" t="str">
        <x:v>Faaliyet/konum/risk/SMS gerektiriyorsa.</x:v>
      </x:c>
      <x:c r="D9" s="11" t="str">
        <x:v>Kesin çalışma alanı, ilişkili operasyonlar, iletişim/acil plan, ekip/yeterlik ve gerekli izolasyon referansları.</x:v>
      </x:c>
      <x:c r="E9" s="11" t="str">
        <x:v>Koşula özgü yetkili kontrol ve çakışma değerlendirmesi.</x:v>
      </x:c>
      <x:c r="F9" s="11" t="str">
        <x:v>Çevre/operasyon değişimi etkisi açık kapı; tek tug etiketi yeterli değil.</x:v>
      </x:c>
      <x:c r="G9" s="11" t="str">
        <x:v>Yetkili saha + operasyon koordinatörü</x:v>
      </x:c>
      <x:c r="H9" s="11" t="str">
        <x:v>H14</x:v>
      </x:c>
      <x:c r="I9" s="11" t="str">
        <x:v>HSE-G03, HSE-G04</x:v>
      </x:c>
      <x:c r="J9" s="11" t="str">
        <x:v>NEW-PROPOSED / DEVRE DIŞI</x:v>
      </x:c>
    </x:row>
    <x:row r="10" ht="40.5" customHeight="1">
      <x:c r="A10" s="11" t="str">
        <x:v>PF05</x:v>
      </x:c>
      <x:c r="B10" s="11" t="str">
        <x:v>Enerji izolasyonu / LOTO</x:v>
      </x:c>
      <x:c r="C10" s="11" t="str">
        <x:v>İş/risk ve onaylı izolasyon prosedürü gerektiriyorsa.</x:v>
      </x:c>
      <x:c r="D10" s="11" t="str">
        <x:v>İzolasyon sertifikası, enerji/ekipman sınırı, nokta/lock-tag/test kanıt referansları, sorumlu yetki, teslim olayları.</x:v>
      </x:c>
      <x:c r="E10" s="11" t="str">
        <x:v>İzolasyon uygulama/doğrulama/teslim ayrı yetkili süreç; belge güncel ve erişilebilir.</x:v>
      </x:c>
      <x:c r="F10" s="11" t="str">
        <x:v>PTW close izolasyon release veya ekipman devreye alma değildir.</x:v>
      </x:c>
      <x:c r="G10" s="11" t="str">
        <x:v>Yetkili izolasyon rolü + izin veren</x:v>
      </x:c>
      <x:c r="H10" s="11" t="str">
        <x:v>H1, H14, HT01</x:v>
      </x:c>
      <x:c r="I10" s="11" t="str">
        <x:v>HSE-G03, HSE-G05</x:v>
      </x:c>
      <x:c r="J10" s="11" t="str">
        <x:v>NEW-PROPOSED / DEVRE DIŞI</x:v>
      </x:c>
    </x:row>
    <x:row r="11" ht="40.5" customHeight="1">
      <x:c r="A11" s="11" t="str">
        <x:v>PF06</x:v>
      </x:c>
      <x:c r="B11" s="11" t="str">
        <x:v>Elektrik işi / test yetkisi</x:v>
      </x:c>
      <x:c r="C11" s="11" t="str">
        <x:v>Elektrik riski ve ayrı bakım/test kapsamı gerektiriyorsa.</x:v>
      </x:c>
      <x:c r="D11" s="11" t="str">
        <x:v>Bakım veya test amacı, ekipman sınırı, izolasyon bağlantısı, yetkin kişi ve test prosedür revizyonu.</x:v>
      </x:c>
      <x:c r="E11" s="11" t="str">
        <x:v>Test yetkisi bakım/onarım izniyle aynı kabul edilmez. İlgili bütün aile önkoşulları birlikte.</x:v>
      </x:c>
      <x:c r="F11" s="11" t="str">
        <x:v>Kapsam değişimi yeni inceleme ve yetkilendirme ister.</x:v>
      </x:c>
      <x:c r="G11" s="11" t="str">
        <x:v>Elektrik yetkin rolü + izin veren</x:v>
      </x:c>
      <x:c r="H11" s="11" t="str">
        <x:v>H1, H14</x:v>
      </x:c>
      <x:c r="I11" s="11" t="str">
        <x:v>HSE-G03, HSE-G05</x:v>
      </x:c>
      <x:c r="J11" s="11" t="str">
        <x:v>NEW-PROPOSED / DEVRE DIŞI</x:v>
      </x:c>
    </x:row>
    <x:row r="12" ht="40.5" customHeight="1">
      <x:c r="A12" s="11" t="str">
        <x:v>PF07</x:v>
      </x:c>
      <x:c r="B12" s="11" t="str">
        <x:v>Kaldırma işi</x:v>
      </x:c>
      <x:c r="C12" s="11" t="str">
        <x:v>Filo/iş kapsamı ve risk/SMS kararıyla ayrıca açılacak aile.</x:v>
      </x:c>
      <x:c r="D12" s="11" t="str">
        <x:v>Plan ve ekipman sertifika referansları, yetkin ekip, mahal/SIMOPS bağlantıları.</x:v>
      </x:c>
      <x:c r="E12" s="11" t="str">
        <x:v>Bu aile mevcut üretim kapsamı değildir. Onaylı gereksinimler tamamlanmadan devre dışı.</x:v>
      </x:c>
      <x:c r="F12" s="11" t="str">
        <x:v>Aktif ailede emniyet önkoşulları sonraki faza ertelenemez.</x:v>
      </x:c>
      <x:c r="G12" s="11" t="str">
        <x:v>SMS sahibi + yetkili uzman</x:v>
      </x:c>
      <x:c r="H12" s="11" t="str">
        <x:v>H14, HR01</x:v>
      </x:c>
      <x:c r="I12" s="11" t="str">
        <x:v>HSE-G01, HSE-G03</x:v>
      </x:c>
      <x:c r="J12" s="11" t="str">
        <x:v>NEW-PROPOSED / DEVRE DIŞI</x:v>
      </x:c>
    </x:row>
    <x:row r="13" ht="40.5" customHeight="1">
      <x:c r="A13" s="11" t="str">
        <x:v>PF08</x:v>
      </x:c>
      <x:c r="B13" s="11" t="str">
        <x:v>Dalış</x:v>
      </x:c>
      <x:c r="C13" s="11" t="str">
        <x:v>Ayrı uzmanlık/otorite/SMS kapsam incelemesine tabi.</x:v>
      </x:c>
      <x:c r="D13" s="11" t="str">
        <x:v>Uzman plan/ekip/yeterlik, işletim sınırı, ilgili izin ve acil plan referansları.</x:v>
      </x:c>
      <x:c r="E13" s="11" t="str">
        <x:v>Operasyon talimatı veya dalış prosedürü bu dosyada yok. Varsayılan kapalı aile.</x:v>
      </x:c>
      <x:c r="F13" s="11" t="str">
        <x:v>Etkinleştirme ayrı uzman kapsam ve bütün önkoşul kapısı.</x:v>
      </x:c>
      <x:c r="G13" s="11" t="str">
        <x:v>İlgili yetkili uzman + SMS sahibi</x:v>
      </x:c>
      <x:c r="H13" s="11" t="str">
        <x:v>H14, HR01</x:v>
      </x:c>
      <x:c r="I13" s="11" t="str">
        <x:v>HSE-G01, HSE-G03</x:v>
      </x:c>
      <x:c r="J13" s="11" t="str">
        <x:v>NEW-PROPOSED / DEVRE DIŞI</x:v>
      </x:c>
    </x:row>
    <x:row r="14" ht="40.5" customHeight="1">
      <x:c r="A14" s="11" t="str">
        <x:v>PF09</x:v>
      </x:c>
      <x:c r="B14" s="11" t="str">
        <x:v>Basınçlı hat açma</x:v>
      </x:c>
      <x:c r="C14" s="11" t="str">
        <x:v>İş/risk/SMS ve uzman değerlendirmesiyle ayrıca açılacak aile.</x:v>
      </x:c>
      <x:c r="D14" s="11" t="str">
        <x:v>Hat/ekipman sınırı, izolasyon ve kanıt, iş JSA ve ilgili SIMOPS bağlantıları.</x:v>
      </x:c>
      <x:c r="E14" s="11" t="str">
        <x:v>Varsayılan kapalı. Kaynak/profil eksikse uygun veya geçerli gösterilmez.</x:v>
      </x:c>
      <x:c r="F14" s="11" t="str">
        <x:v>Yeni kritik koşul otomatik devam değil yeniden yetki gerektirir.</x:v>
      </x:c>
      <x:c r="G14" s="11" t="str">
        <x:v>İlgili yetkili uzman + izin veren</x:v>
      </x:c>
      <x:c r="H14" s="11" t="str">
        <x:v>H14, HR01</x:v>
      </x:c>
      <x:c r="I14" s="11" t="str">
        <x:v>HSE-G01, HSE-G03</x:v>
      </x:c>
      <x:c r="J14" s="11" t="str">
        <x:v>NEW-PROPOSED / DEVRE DIŞI</x:v>
      </x:c>
    </x:row>
  </x:sheetData>
  <x:pageMargins left="0.7" right="0.7" top="0.75" bottom="0.75" header="0.3" footer="0.3"/>
  <x:tableParts count="1">
    <x:tablePart xmlns:r="http://schemas.openxmlformats.org/officeDocument/2006/relationships" r:id="R17d70a414bf04d4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17" hidden="0" customWidth="1"/>
    <x:col min="3" max="3" width="22.5" hidden="0" customWidth="1"/>
    <x:col min="4" max="4" width="22" hidden="0" customWidth="1"/>
    <x:col min="5" max="5" width="23" hidden="0" customWidth="1"/>
    <x:col min="6" max="6" width="23" hidden="0" customWidth="1"/>
    <x:col min="7" max="7" width="51" hidden="0" customWidth="1"/>
    <x:col min="8" max="8" width="43" hidden="0" customWidth="1"/>
    <x:col min="9" max="9" width="26" hidden="0" customWidth="1"/>
    <x:col min="10" max="10" width="16" hidden="0" customWidth="1"/>
    <x:col min="11" max="11" width="2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İş akışı, rol ayrımı ve etkin yetkilendirme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5" t="str">
        <x:v>Saklanan lifecycle ile current effective authorization ayrı. Aday enumlar hukuki onay veya çalışan motor değildir.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1.5" customHeight="1">
      <x:c r="A5" s="10" t="str">
        <x:v>Kural ID</x:v>
      </x:c>
      <x:c r="B5" s="10" t="str">
        <x:v>Tür</x:v>
      </x:c>
      <x:c r="C5" s="10" t="str">
        <x:v>Nesne / rol</x:v>
      </x:c>
      <x:c r="D5" s="10" t="str">
        <x:v>Başlangıç / kapsam</x:v>
      </x:c>
      <x:c r="E5" s="10" t="str">
        <x:v>Olay / komut</x:v>
      </x:c>
      <x:c r="F5" s="10" t="str">
        <x:v>Hedef / öneri</x:v>
      </x:c>
      <x:c r="G5" s="10" t="str">
        <x:v>Önkoşul / sunucu kuralı</x:v>
      </x:c>
      <x:c r="H5" s="10" t="str">
        <x:v>Etkin yetki sonucu</x:v>
      </x:c>
      <x:c r="I5" s="10" t="str">
        <x:v>İnsan / rol ayrımı</x:v>
      </x:c>
      <x:c r="J5" s="10" t="str">
        <x:v>Kaynak ID</x:v>
      </x:c>
      <x:c r="K5" s="10" t="str">
        <x:v>Durum</x:v>
      </x:c>
    </x:row>
    <x:row r="6" ht="36" customHeight="1">
      <x:c r="A6" s="11" t="str">
        <x:v>ST01</x:v>
      </x:c>
      <x:c r="B6" s="11" t="str">
        <x:v>RA geçişi</x:v>
      </x:c>
      <x:c r="C6" s="11" t="str">
        <x:v>Baseline / Job RA</x:v>
      </x:c>
      <x:c r="D6" s="11" t="str">
        <x:v>DRAFT</x:v>
      </x:c>
      <x:c r="E6" s="11" t="str">
        <x:v>İnceleme iste</x:v>
      </x:c>
      <x:c r="F6" s="11" t="str">
        <x:v>REVIEW_REQUESTED</x:v>
      </x:c>
      <x:c r="G6" s="11" t="str">
        <x:v>Kapsam, yöntem ve ilgili satırlar tamam; eksik veri olumluya dönüşmez.</x:v>
      </x:c>
      <x:c r="H6" s="11" t="str">
        <x:v>PTW yetkisi vermez.</x:v>
      </x:c>
      <x:c r="I6" s="11" t="str">
        <x:v>Hazırlayan → yetkili inceleyen</x:v>
      </x:c>
      <x:c r="J6" s="11" t="str">
        <x:v>HT01, H11</x:v>
      </x:c>
      <x:c r="K6" s="11" t="str">
        <x:v>NEW-PROPOSED / NOT_IMPLEMENTED</x:v>
      </x:c>
    </x:row>
    <x:row r="7" ht="36" customHeight="1">
      <x:c r="A7" s="11" t="str">
        <x:v>ST02</x:v>
      </x:c>
      <x:c r="B7" s="11" t="str">
        <x:v>RA geçişi</x:v>
      </x:c>
      <x:c r="C7" s="11" t="str">
        <x:v>Baseline / Job RA</x:v>
      </x:c>
      <x:c r="D7" s="11" t="str">
        <x:v>REVIEW_REQUESTED</x:v>
      </x:c>
      <x:c r="E7" s="11" t="str">
        <x:v>İncele / kabulü kaydet</x:v>
      </x:c>
      <x:c r="F7" s="11" t="str">
        <x:v>REVIEWED veya RETURNED</x:v>
      </x:c>
      <x:c r="G7" s="11" t="str">
        <x:v>Yetkili inceleme ve ayrı risk kabul kararı; görev ayrılığı/onay profili.</x:v>
      </x:c>
      <x:c r="H7" s="11" t="str">
        <x:v>Risk kabulü PTW onayı değildir.</x:v>
      </x:c>
      <x:c r="I7" s="11" t="str">
        <x:v>Yetkili risk inceleyen/kabul rolü</x:v>
      </x:c>
      <x:c r="J7" s="11" t="str">
        <x:v>HT01</x:v>
      </x:c>
      <x:c r="K7" s="11" t="str">
        <x:v>NEW-PROPOSED / NOT_IMPLEMENTED</x:v>
      </x:c>
    </x:row>
    <x:row r="8" ht="40.5" customHeight="1">
      <x:c r="A8" s="11" t="str">
        <x:v>ST03</x:v>
      </x:c>
      <x:c r="B8" s="11" t="str">
        <x:v>RA değişikliği</x:v>
      </x:c>
      <x:c r="C8" s="11" t="str">
        <x:v>RA revision</x:v>
      </x:c>
      <x:c r="D8" s="11" t="str">
        <x:v>REVIEWED</x:v>
      </x:c>
      <x:c r="E8" s="11" t="str">
        <x:v>Yeni revizyon oluştur</x:v>
      </x:c>
      <x:c r="F8" s="11" t="str">
        <x:v>Yeni DRAFT</x:v>
      </x:c>
      <x:c r="G8" s="11" t="str">
        <x:v>Onaylı eski revizyon değişmez. Kritik etki profili kayıtlı gerekçeyle değerlendirilir.</x:v>
      </x:c>
      <x:c r="H8" s="11" t="str">
        <x:v>HSE-C01: bağlı etkin izin VALID kalamaz; askı/geçersizlik/REVIEW_REQUIRED.</x:v>
      </x:c>
      <x:c r="I8" s="11" t="str">
        <x:v>Risk inceleyen + izin veren</x:v>
      </x:c>
      <x:c r="J8" s="11" t="str">
        <x:v>HR01, HT01</x:v>
      </x:c>
      <x:c r="K8" s="11" t="str">
        <x:v>NEW-PROPOSED / NOT_IMPLEMENTED</x:v>
      </x:c>
    </x:row>
    <x:row r="9" ht="36" customHeight="1">
      <x:c r="A9" s="11" t="str">
        <x:v>ST04</x:v>
      </x:c>
      <x:c r="B9" s="11" t="str">
        <x:v>PTW geçişi</x:v>
      </x:c>
      <x:c r="C9" s="11" t="str">
        <x:v>Permit</x:v>
      </x:c>
      <x:c r="D9" s="11" t="str">
        <x:v>DRAFT</x:v>
      </x:c>
      <x:c r="E9" s="11" t="str">
        <x:v>Başvuru</x:v>
      </x:c>
      <x:c r="F9" s="11" t="str">
        <x:v>REVIEW_REQUESTED</x:v>
      </x:c>
      <x:c r="G9" s="11" t="str">
        <x:v>Scoped iş/mahal, aileler, kesin JSA sürümü ve zaman talebi var.</x:v>
      </x:c>
      <x:c r="H9" s="11" t="str">
        <x:v>UNCONFIRMED; çalışma yetkisi yok.</x:v>
      </x:c>
      <x:c r="I9" s="11" t="str">
        <x:v>Talep eden</x:v>
      </x:c>
      <x:c r="J9" s="11" t="str">
        <x:v>H14, HT01</x:v>
      </x:c>
      <x:c r="K9" s="11" t="str">
        <x:v>NEW-PROPOSED / NOT_IMPLEMENTED</x:v>
      </x:c>
    </x:row>
    <x:row r="10" ht="40.5" customHeight="1">
      <x:c r="A10" s="11" t="str">
        <x:v>ST05</x:v>
      </x:c>
      <x:c r="B10" s="11" t="str">
        <x:v>PTW geçişi</x:v>
      </x:c>
      <x:c r="C10" s="11" t="str">
        <x:v>Permit</x:v>
      </x:c>
      <x:c r="D10" s="11" t="str">
        <x:v>REVIEW_REQUESTED</x:v>
      </x:c>
      <x:c r="E10" s="11" t="str">
        <x:v>Hazırlık incelemesi</x:v>
      </x:c>
      <x:c r="F10" s="11" t="str">
        <x:v>PREPARATION_REQUIRED</x:v>
      </x:c>
      <x:c r="G10" s="11" t="str">
        <x:v>Gerekli aile profilleri ve rol/kanıt kontrolleri belirlenir; unknown uygun sayılmaz.</x:v>
      </x:c>
      <x:c r="H10" s="11" t="str">
        <x:v>UNCONFIRMED; eksik önkoşullar görünür.</x:v>
      </x:c>
      <x:c r="I10" s="11" t="str">
        <x:v>İnceleyen + ilgili uzman roller</x:v>
      </x:c>
      <x:c r="J10" s="11" t="str">
        <x:v>H1, HR01</x:v>
      </x:c>
      <x:c r="K10" s="11" t="str">
        <x:v>NEW-PROPOSED / NOT_IMPLEMENTED</x:v>
      </x:c>
    </x:row>
    <x:row r="11" ht="40.5" customHeight="1">
      <x:c r="A11" s="11" t="str">
        <x:v>ST06</x:v>
      </x:c>
      <x:c r="B11" s="11" t="str">
        <x:v>PTW geçişi</x:v>
      </x:c>
      <x:c r="C11" s="11" t="str">
        <x:v>Permit</x:v>
      </x:c>
      <x:c r="D11" s="11" t="str">
        <x:v>PREPARATION_REQUIRED</x:v>
      </x:c>
      <x:c r="E11" s="11" t="str">
        <x:v>İzin ver</x:v>
      </x:c>
      <x:c r="F11" s="11" t="str">
        <x:v>ISSUED</x:v>
      </x:c>
      <x:c r="G11" s="11" t="str">
        <x:v>Her etkin ailenin risk/SMS, izolasyon, SIMOPS, yetkinlik, güncel kanıt ve yetkili onayı tamam.</x:v>
      </x:c>
      <x:c r="H11" s="11" t="str">
        <x:v>P0 DEMO/idari-only iken issue operasyonel yetki oluşturamaz.</x:v>
      </x:c>
      <x:c r="I11" s="11" t="str">
        <x:v>Yetkili izin veren</x:v>
      </x:c>
      <x:c r="J11" s="11" t="str">
        <x:v>H1, H14, HR01</x:v>
      </x:c>
      <x:c r="K11" s="11" t="str">
        <x:v>NEW-PROPOSED / NOT_IMPLEMENTED</x:v>
      </x:c>
    </x:row>
    <x:row r="12" ht="40.5" customHeight="1">
      <x:c r="A12" s="11" t="str">
        <x:v>ST07</x:v>
      </x:c>
      <x:c r="B12" s="11" t="str">
        <x:v>PTW geçişi</x:v>
      </x:c>
      <x:c r="C12" s="11" t="str">
        <x:v>Permit</x:v>
      </x:c>
      <x:c r="D12" s="11" t="str">
        <x:v>ISSUED</x:v>
      </x:c>
      <x:c r="E12" s="11" t="str">
        <x:v>Başlangıcı yetkilendir</x:v>
      </x:c>
      <x:c r="F12" s="11" t="str">
        <x:v>ACTIVE</x:v>
      </x:c>
      <x:c r="G12" s="11" t="str">
        <x:v>Zaman penceresi, güncel sürüm/authority, bütün önkoşullar ve profile bağlı insan teyidi tekrar geçerli.</x:v>
      </x:c>
      <x:c r="H12" s="11" t="str">
        <x:v>VALID yalnız güncel sunucu kararı ve yetkili kayıtla; label tek başına değil.</x:v>
      </x:c>
      <x:c r="I12" s="11" t="str">
        <x:v>Yetkili izin veren + işi alan</x:v>
      </x:c>
      <x:c r="J12" s="11" t="str">
        <x:v>HR01</x:v>
      </x:c>
      <x:c r="K12" s="11" t="str">
        <x:v>NEW-PROPOSED / NOT_IMPLEMENTED</x:v>
      </x:c>
    </x:row>
    <x:row r="13" ht="40.5" customHeight="1">
      <x:c r="A13" s="11" t="str">
        <x:v>ST08</x:v>
      </x:c>
      <x:c r="B13" s="11" t="str">
        <x:v>Kritik değişiklik</x:v>
      </x:c>
      <x:c r="C13" s="11" t="str">
        <x:v>Permit effective authority</x:v>
      </x:c>
      <x:c r="D13" s="11" t="str">
        <x:v>ISSUED / ACTIVE</x:v>
      </x:c>
      <x:c r="E13" s="11" t="str">
        <x:v>Risk/koşul/izolasyon/ekip değişimi</x:v>
      </x:c>
      <x:c r="F13" s="11" t="str">
        <x:v>SUSPENDED veya REVIEW_REQUIRED</x:v>
      </x:c>
      <x:c r="G13" s="11" t="str">
        <x:v>Değişmez geçmiş korunur; bağlı kritik RA sürüm veya kanıt değişikliği anında etkin yetkiyi etkiler.</x:v>
      </x:c>
      <x:c r="H13" s="11" t="str">
        <x:v>Yeşil geçerli gösterimi engellenir. Salt uyarı/badge yeterli değil.</x:v>
      </x:c>
      <x:c r="I13" s="11" t="str">
        <x:v>Sunucu + yetkili inceleyen</x:v>
      </x:c>
      <x:c r="J13" s="11" t="str">
        <x:v>HR01 HSE-C01</x:v>
      </x:c>
      <x:c r="K13" s="11" t="str">
        <x:v>NEW-PROPOSED / NOT_IMPLEMENTED</x:v>
      </x:c>
    </x:row>
    <x:row r="14" ht="40.5" customHeight="1">
      <x:c r="A14" s="11" t="str">
        <x:v>ST09</x:v>
      </x:c>
      <x:c r="B14" s="11" t="str">
        <x:v>PTW geçişi</x:v>
      </x:c>
      <x:c r="C14" s="11" t="str">
        <x:v>Permit</x:v>
      </x:c>
      <x:c r="D14" s="11" t="str">
        <x:v>SUSPENDED</x:v>
      </x:c>
      <x:c r="E14" s="11" t="str">
        <x:v>Yeniden değerlendir / yetkilendir</x:v>
      </x:c>
      <x:c r="F14" s="11" t="str">
        <x:v>ISSUED veya yeni Permit</x:v>
      </x:c>
      <x:c r="G14" s="11" t="str">
        <x:v>Gerekli yeniden kontroller+güncel RA+kanıt+yetkili insan onayı. Profil yeni izin istiyorsa resume yok.</x:v>
      </x:c>
      <x:c r="H14" s="11" t="str">
        <x:v>Otomatik resume yok; yeni etkin karar gerekir.</x:v>
      </x:c>
      <x:c r="I14" s="11" t="str">
        <x:v>Yetkili izin veren</x:v>
      </x:c>
      <x:c r="J14" s="11" t="str">
        <x:v>H1, H14, HR01</x:v>
      </x:c>
      <x:c r="K14" s="11" t="str">
        <x:v>NEW-PROPOSED / NOT_IMPLEMENTED</x:v>
      </x:c>
    </x:row>
    <x:row r="15" ht="36" customHeight="1">
      <x:c r="A15" s="11" t="str">
        <x:v>ST10</x:v>
      </x:c>
      <x:c r="B15" s="11" t="str">
        <x:v>Zaman koşulu</x:v>
      </x:c>
      <x:c r="C15" s="11" t="str">
        <x:v>Permit</x:v>
      </x:c>
      <x:c r="D15" s="11" t="str">
        <x:v>ISSUED / ACTIVE</x:v>
      </x:c>
      <x:c r="E15" s="11" t="str">
        <x:v>Süre bitimi</x:v>
      </x:c>
      <x:c r="F15" s="11" t="str">
        <x:v>EXPIRED</x:v>
      </x:c>
      <x:c r="G15" s="11" t="str">
        <x:v>Sunucu geçerlilik penceresini uygular. Bildirim okunmasa da geçerli kalmaz.</x:v>
      </x:c>
      <x:c r="H15" s="11" t="str">
        <x:v>EXPIRED; otomatik süre uzatma/reissue yok.</x:v>
      </x:c>
      <x:c r="I15" s="11" t="str">
        <x:v>Sunucu; yeni izin için yetkili insan</x:v>
      </x:c>
      <x:c r="J15" s="11" t="str">
        <x:v>H1, H14</x:v>
      </x:c>
      <x:c r="K15" s="11" t="str">
        <x:v>NEW-PROPOSED / NOT_IMPLEMENTED</x:v>
      </x:c>
    </x:row>
    <x:row r="16" ht="36" customHeight="1">
      <x:c r="A16" s="11" t="str">
        <x:v>ST11</x:v>
      </x:c>
      <x:c r="B16" s="11" t="str">
        <x:v>PTW geçişi</x:v>
      </x:c>
      <x:c r="C16" s="11" t="str">
        <x:v>Permit</x:v>
      </x:c>
      <x:c r="D16" s="11" t="str">
        <x:v>ACTIVE</x:v>
      </x:c>
      <x:c r="E16" s="11" t="str">
        <x:v>İş teslimini bildir</x:v>
      </x:c>
      <x:c r="F16" s="11" t="str">
        <x:v>HANDBACK_PENDING</x:v>
      </x:c>
      <x:c r="G16" s="11" t="str">
        <x:v>İş/mahal/ekipman ve personel/alet kontrol kaydı; teslim alan değerlendirmesi.</x:v>
      </x:c>
      <x:c r="H16" s="11" t="str">
        <x:v>İş tamamlandı izolasyon release değildir.</x:v>
      </x:c>
      <x:c r="I16" s="11" t="str">
        <x:v>İş yürütücüsü + teslim alan</x:v>
      </x:c>
      <x:c r="J16" s="11" t="str">
        <x:v>H14</x:v>
      </x:c>
      <x:c r="K16" s="11" t="str">
        <x:v>NEW-PROPOSED / NOT_IMPLEMENTED</x:v>
      </x:c>
    </x:row>
    <x:row r="17" ht="36" customHeight="1">
      <x:c r="A17" s="11" t="str">
        <x:v>ST12</x:v>
      </x:c>
      <x:c r="B17" s="11" t="str">
        <x:v>PTW geçişi</x:v>
      </x:c>
      <x:c r="C17" s="11" t="str">
        <x:v>Permit</x:v>
      </x:c>
      <x:c r="D17" s="11" t="str">
        <x:v>HANDBACK_PENDING</x:v>
      </x:c>
      <x:c r="E17" s="11" t="str">
        <x:v>İzni kapat</x:v>
      </x:c>
      <x:c r="F17" s="11" t="str">
        <x:v>CLOSED</x:v>
      </x:c>
      <x:c r="G17" s="11" t="str">
        <x:v>Teslim koşulları, gerekçe ve yetkili kapanış audit.</x:v>
      </x:c>
      <x:c r="H17" s="11" t="str">
        <x:v>Close ekipmanı devreye almaz, izolasyon kaldırmaz.</x:v>
      </x:c>
      <x:c r="I17" s="11" t="str">
        <x:v>Yetkili kapatan</x:v>
      </x:c>
      <x:c r="J17" s="11" t="str">
        <x:v>H14, HT01</x:v>
      </x:c>
      <x:c r="K17" s="11" t="str">
        <x:v>NEW-PROPOSED / NOT_IMPLEMENTED</x:v>
      </x:c>
    </x:row>
    <x:row r="18" ht="40.5" customHeight="1">
      <x:c r="A18" s="11" t="str">
        <x:v>ST13</x:v>
      </x:c>
      <x:c r="B18" s="11" t="str">
        <x:v>PTW geçişi</x:v>
      </x:c>
      <x:c r="C18" s="11" t="str">
        <x:v>Permit</x:v>
      </x:c>
      <x:c r="D18" s="11" t="str">
        <x:v>DRAFT / ISSUED / ACTIVE</x:v>
      </x:c>
      <x:c r="E18" s="11" t="str">
        <x:v>İptal / geri çek</x:v>
      </x:c>
      <x:c r="F18" s="11" t="str">
        <x:v>CANCELLED</x:v>
      </x:c>
      <x:c r="G18" s="11" t="str">
        <x:v>Neden, yetkili olay ve bağlı işlere etki kaydı. Aktif işte durdurma/teslim etkisi profilce ele alınır.</x:v>
      </x:c>
      <x:c r="H18" s="11" t="str">
        <x:v>Etkin yetki yok; eski kayıt silinmez.</x:v>
      </x:c>
      <x:c r="I18" s="11" t="str">
        <x:v>Yetkili izin/operasyon rolü</x:v>
      </x:c>
      <x:c r="J18" s="11" t="str">
        <x:v>HT01</x:v>
      </x:c>
      <x:c r="K18" s="11" t="str">
        <x:v>NEW-PROPOSED / NOT_IMPLEMENTED</x:v>
      </x:c>
    </x:row>
    <x:row r="19" ht="40.5" customHeight="1">
      <x:c r="A19" s="11" t="str">
        <x:v>ST14</x:v>
      </x:c>
      <x:c r="B19" s="11" t="str">
        <x:v>Offline koşulu</x:v>
      </x:c>
      <x:c r="C19" s="11" t="str">
        <x:v>Cached Permit</x:v>
      </x:c>
      <x:c r="D19" s="11" t="str">
        <x:v>Cached ACTIVE / ISSUED</x:v>
      </x:c>
      <x:c r="E19" s="11" t="str">
        <x:v>Güncellik/saat/yetki bilinmiyor</x:v>
      </x:c>
      <x:c r="F19" s="11" t="str">
        <x:v>Effective UNCONFIRMED / REVIEW_REQUIRED</x:v>
      </x:c>
      <x:c r="G19" s="11" t="str">
        <x:v>HSE-C02: cache tarihsel durumdur. Yeni veya daha önce aktif izin fark etmez.</x:v>
      </x:c>
      <x:c r="H19" s="11" t="str">
        <x:v>Current VALID gösterimi, otomatik issue/resume/extension yok.</x:v>
      </x:c>
      <x:c r="I19" s="11" t="str">
        <x:v>Sunucu + yerel devamlılık yetkilisi</x:v>
      </x:c>
      <x:c r="J19" s="11" t="str">
        <x:v>HR01</x:v>
      </x:c>
      <x:c r="K19" s="11" t="str">
        <x:v>NEW-PROPOSED / NOT_IMPLEMENTED</x:v>
      </x:c>
    </x:row>
    <x:row r="20" ht="40.5" customHeight="1">
      <x:c r="A20" s="11" t="str">
        <x:v>ST15</x:v>
      </x:c>
      <x:c r="B20" s="11" t="str">
        <x:v>Yeniden bağlantı</x:v>
      </x:c>
      <x:c r="C20" s="11" t="str">
        <x:v>Permit + events</x:v>
      </x:c>
      <x:c r="D20" s="11" t="str">
        <x:v>Unsynced / conflict</x:v>
      </x:c>
      <x:c r="E20" s="11" t="str">
        <x:v>Uzlaştır</x:v>
      </x:c>
      <x:c r="F20" s="11" t="str">
        <x:v>Yetkili inceleme bekler</x:v>
      </x:c>
      <x:c r="G20" s="11" t="str">
        <x:v>Güncel revision, çatışma, saat ve actor/action authority yeniden kontrol; otomatik son-yazan-kazan yok.</x:v>
      </x:c>
      <x:c r="H20" s="11" t="str">
        <x:v>Cache ACTIVE otomatik VALID olmaz.</x:v>
      </x:c>
      <x:c r="I20" s="11" t="str">
        <x:v>Yetkili inceleyen + sunucu</x:v>
      </x:c>
      <x:c r="J20" s="11" t="str">
        <x:v>HR01, HT01</x:v>
      </x:c>
      <x:c r="K20" s="11" t="str">
        <x:v>NEW-PROPOSED / NOT_IMPLEMENTED</x:v>
      </x:c>
    </x:row>
    <x:row r="21" ht="40.5" customHeight="1">
      <x:c r="A21" s="11" t="str">
        <x:v>ST16</x:v>
      </x:c>
      <x:c r="B21" s="11" t="str">
        <x:v>Kritik olmayan değişiklik</x:v>
      </x:c>
      <x:c r="C21" s="11" t="str">
        <x:v>RA / Permit</x:v>
      </x:c>
      <x:c r="D21" s="11" t="str">
        <x:v>Onaylı kayıt</x:v>
      </x:c>
      <x:c r="E21" s="11" t="str">
        <x:v>Etki değerlendirmesi</x:v>
      </x:c>
      <x:c r="F21" s="11" t="str">
        <x:v>Yeni revizyon veya gerekçeli kayıt</x:v>
      </x:c>
      <x:c r="G21" s="11" t="str">
        <x:v>Non-material kararı açık profile/yetkiliye bağlı. Otomatik güvenli kabul veya eski onay transferi yok.</x:v>
      </x:c>
      <x:c r="H21" s="11" t="str">
        <x:v>Etkin yetki kararı ayrı tutulur.</x:v>
      </x:c>
      <x:c r="I21" s="11" t="str">
        <x:v>Yetkili inceleyen</x:v>
      </x:c>
      <x:c r="J21" s="11" t="str">
        <x:v>HR01</x:v>
      </x:c>
      <x:c r="K21" s="11" t="str">
        <x:v>NEW-PROPOSED / NOT_IMPLEMENTED</x:v>
      </x:c>
    </x:row>
    <x:row r="22" ht="36" customHeight="1">
      <x:c r="A22" s="11" t="str">
        <x:v>RL01</x:v>
      </x:c>
      <x:c r="B22" s="11" t="str">
        <x:v>Rol</x:v>
      </x:c>
      <x:c r="C22" s="11" t="str">
        <x:v>Hazırlayan / talep eden</x:v>
      </x:c>
      <x:c r="D22" s="11" t="str">
        <x:v>Scoped assignment</x:v>
      </x:c>
      <x:c r="E22" s="11" t="str">
        <x:v>Taslak / başvuru</x:v>
      </x:c>
      <x:c r="F22" s="11" t="str">
        <x:v>Yetki önerisi</x:v>
      </x:c>
      <x:c r="G22" s="11" t="str">
        <x:v>İlgili vessel/job/object grant; kendine onay ve vekalet politikası ayrı.</x:v>
      </x:c>
      <x:c r="H22" s="11" t="str">
        <x:v>Hazırlamak çalışma yetkisi vermez.</x:v>
      </x:c>
      <x:c r="I22" s="11" t="str">
        <x:v>Kişi adı örneği yok</x:v>
      </x:c>
      <x:c r="J22" s="11" t="str">
        <x:v>HT01</x:v>
      </x:c>
      <x:c r="K22" s="11" t="str">
        <x:v>NEW-PROPOSED / NOT_IMPLEMENTED</x:v>
      </x:c>
    </x:row>
    <x:row r="23" ht="40.5" customHeight="1">
      <x:c r="A23" s="11" t="str">
        <x:v>RL02</x:v>
      </x:c>
      <x:c r="B23" s="11" t="str">
        <x:v>Rol</x:v>
      </x:c>
      <x:c r="C23" s="11" t="str">
        <x:v>Risk inceleyen / kabul eden</x:v>
      </x:c>
      <x:c r="D23" s="11" t="str">
        <x:v>Qualified assignment</x:v>
      </x:c>
      <x:c r="E23" s="11" t="str">
        <x:v>RA inceleme / risk kabulü</x:v>
      </x:c>
      <x:c r="F23" s="11" t="str">
        <x:v>Yetki önerisi</x:v>
      </x:c>
      <x:c r="G23" s="11" t="str">
        <x:v>Yöntem/kapsam yeterliği ve görev ayrılığı; risk kabulü izin verme capability değildir.</x:v>
      </x:c>
      <x:c r="H23" s="11" t="str">
        <x:v>PTW VALID yapmaz.</x:v>
      </x:c>
      <x:c r="I23" s="11" t="str">
        <x:v>Yetkili uzman</x:v>
      </x:c>
      <x:c r="J23" s="11" t="str">
        <x:v>H10, H11, HT01</x:v>
      </x:c>
      <x:c r="K23" s="11" t="str">
        <x:v>NEW-PROPOSED / NOT_IMPLEMENTED</x:v>
      </x:c>
    </x:row>
    <x:row r="24" ht="40.5" customHeight="1">
      <x:c r="A24" s="11" t="str">
        <x:v>RL03</x:v>
      </x:c>
      <x:c r="B24" s="11" t="str">
        <x:v>Rol</x:v>
      </x:c>
      <x:c r="C24" s="11" t="str">
        <x:v>İzin veren / kaptan atanmış yetkili</x:v>
      </x:c>
      <x:c r="D24" s="11" t="str">
        <x:v>Qualified assignment</x:v>
      </x:c>
      <x:c r="E24" s="11" t="str">
        <x:v>Issue / reauthorize</x:v>
      </x:c>
      <x:c r="F24" s="11" t="str">
        <x:v>Yetki önerisi</x:v>
      </x:c>
      <x:c r="G24" s="11" t="str">
        <x:v>Bayrak/SMS profilinde atanmış yetki + güncel sunucu grant + tüm ilgili önkoşullar.</x:v>
      </x:c>
      <x:c r="H24" s="11" t="str">
        <x:v>Admin veya AI bu rolün yerine geçmez.</x:v>
      </x:c>
      <x:c r="I24" s="11" t="str">
        <x:v>Yetkili izin veren</x:v>
      </x:c>
      <x:c r="J24" s="11" t="str">
        <x:v>H1, H14</x:v>
      </x:c>
      <x:c r="K24" s="11" t="str">
        <x:v>NEW-PROPOSED / NOT_IMPLEMENTED</x:v>
      </x:c>
    </x:row>
    <x:row r="25" ht="40.5" customHeight="1">
      <x:c r="A25" s="11" t="str">
        <x:v>RL04</x:v>
      </x:c>
      <x:c r="B25" s="11" t="str">
        <x:v>Rol</x:v>
      </x:c>
      <x:c r="C25" s="11" t="str">
        <x:v>İşi yürüten / teslim alan</x:v>
      </x:c>
      <x:c r="D25" s="11" t="str">
        <x:v>Scoped assignment</x:v>
      </x:c>
      <x:c r="E25" s="11" t="str">
        <x:v>Toolbox / acknowledgements / handback</x:v>
      </x:c>
      <x:c r="F25" s="11" t="str">
        <x:v>Yetki önerisi</x:v>
      </x:c>
      <x:c r="G25" s="11" t="str">
        <x:v>Ekip ve iş kapsamı/yeterlik; teslim sorumluluğu ile izin onayı ayrı.</x:v>
      </x:c>
      <x:c r="H25" s="11" t="str">
        <x:v>Katılım teyidi onay değil.</x:v>
      </x:c>
      <x:c r="I25" s="11" t="str">
        <x:v>Yetkin iş yürütücüsü</x:v>
      </x:c>
      <x:c r="J25" s="11" t="str">
        <x:v>H14</x:v>
      </x:c>
      <x:c r="K25" s="11" t="str">
        <x:v>NEW-PROPOSED / NOT_IMPLEMENTED</x:v>
      </x:c>
    </x:row>
    <x:row r="26" ht="36" customHeight="1">
      <x:c r="A26" s="11" t="str">
        <x:v>RL05</x:v>
      </x:c>
      <x:c r="B26" s="11" t="str">
        <x:v>Rol</x:v>
      </x:c>
      <x:c r="C26" s="11" t="str">
        <x:v>Ölçüm / izolasyon yetkilisi</x:v>
      </x:c>
      <x:c r="D26" s="11" t="str">
        <x:v>Qualified assignment</x:v>
      </x:c>
      <x:c r="E26" s="11" t="str">
        <x:v>İlgili doğrulama kaydı</x:v>
      </x:c>
      <x:c r="F26" s="11" t="str">
        <x:v>Yetki önerisi</x:v>
      </x:c>
      <x:c r="G26" s="11" t="str">
        <x:v>İlgili profil yetkinliği, cihaz/kanıt referansı ve rol ayrımı.</x:v>
      </x:c>
      <x:c r="H26" s="11" t="str">
        <x:v>PTW close bu yetkinin release komutu değildir.</x:v>
      </x:c>
      <x:c r="I26" s="11" t="str">
        <x:v>Yetkili teknik rol</x:v>
      </x:c>
      <x:c r="J26" s="11" t="str">
        <x:v>H1, H14</x:v>
      </x:c>
      <x:c r="K26" s="11" t="str">
        <x:v>NEW-PROPOSED / NOT_IMPLEMENTED</x:v>
      </x:c>
    </x:row>
    <x:row r="27" ht="40.5" customHeight="1">
      <x:c r="A27" s="11" t="str">
        <x:v>RL06</x:v>
      </x:c>
      <x:c r="B27" s="11" t="str">
        <x:v>Rol</x:v>
      </x:c>
      <x:c r="C27" s="11" t="str">
        <x:v>Saha ekibi / gözlemci</x:v>
      </x:c>
      <x:c r="D27" s="11" t="str">
        <x:v>Scoped user</x:v>
      </x:c>
      <x:c r="E27" s="11" t="str">
        <x:v>Gözlem / stop-work bildir</x:v>
      </x:c>
      <x:c r="F27" s="11" t="str">
        <x:v>Yetki önerisi</x:v>
      </x:c>
      <x:c r="G27" s="11" t="str">
        <x:v>Fiziksel acil durdurma hakkı uygulama izniyle kısıtlanmaz. Yeniden başlatma ayrı yetkili süreç.</x:v>
      </x:c>
      <x:c r="H27" s="11" t="str">
        <x:v>Stop-work geniş; resume otomatik değil.</x:v>
      </x:c>
      <x:c r="I27" s="11" t="str">
        <x:v>Saha ekibi</x:v>
      </x:c>
      <x:c r="J27" s="11" t="str">
        <x:v>HT01, HR01</x:v>
      </x:c>
      <x:c r="K27" s="11" t="str">
        <x:v>NEW-PROPOSED / NOT_IMPLEMENTED</x:v>
      </x:c>
    </x:row>
    <x:row r="28" ht="40.5" customHeight="1">
      <x:c r="A28" s="11" t="str">
        <x:v>RL07</x:v>
      </x:c>
      <x:c r="B28" s="11" t="str">
        <x:v>Rol</x:v>
      </x:c>
      <x:c r="C28" s="11" t="str">
        <x:v>Platform admin / AI / auditor</x:v>
      </x:c>
      <x:c r="D28" s="11" t="str">
        <x:v>Platform/read scope</x:v>
      </x:c>
      <x:c r="E28" s="11" t="str">
        <x:v>Teknik yönetim / öneri / salt okuma</x:v>
      </x:c>
      <x:c r="F28" s="11" t="str">
        <x:v>Yetki sınırı</x:v>
      </x:c>
      <x:c r="G28" s="11" t="str">
        <x:v>Admin ve AI mevzuat veya risk/izin onayı vermez; auditor write capability almaz.</x:v>
      </x:c>
      <x:c r="H28" s="11" t="str">
        <x:v>Çalışma yetkisi üretemez.</x:v>
      </x:c>
      <x:c r="I28" s="11" t="str">
        <x:v>Sunucu denetimi</x:v>
      </x:c>
      <x:c r="J28" s="11" t="str">
        <x:v>HT01, HR01</x:v>
      </x:c>
      <x:c r="K28" s="11" t="str">
        <x:v>NEW-PROPOSED / NOT_IMPLEMENTED</x:v>
      </x:c>
    </x:row>
  </x:sheetData>
  <x:pageMargins left="0.7" right="0.7" top="0.75" bottom="0.75" header="0.3" footer="0.3"/>
  <x:tableParts count="1">
    <x:tablePart xmlns:r="http://schemas.openxmlformats.org/officeDocument/2006/relationships" r:id="R04de0b96ca9c460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5" hidden="0" customWidth="1"/>
    <x:col min="2" max="2" width="25.5" hidden="0" customWidth="1"/>
    <x:col min="3" max="3" width="24" hidden="0" customWidth="1"/>
    <x:col min="4" max="4" width="40" hidden="0" customWidth="1"/>
    <x:col min="5" max="5" width="42" hidden="0" customWidth="1"/>
    <x:col min="6" max="6" width="38" hidden="0" customWidth="1"/>
    <x:col min="7" max="7" width="42" hidden="0" customWidth="1"/>
    <x:col min="8" max="8" width="10.5" hidden="0" customWidth="1"/>
    <x:col min="9" max="9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HSE gezinimi ve mevcut izin referansları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5" t="str">
        <x:v>Görünürlük bulgusu statik kaynak incelemesidir; kullanıcı tarayıcısı veya çalışan uygulama kabul testi değildir.</x:v>
      </x:c>
      <x:c r="B4" s="2"/>
      <x:c r="C4" s="2"/>
      <x:c r="D4" s="2"/>
      <x:c r="E4" s="2"/>
      <x:c r="F4" s="2"/>
      <x:c r="G4" s="2"/>
      <x:c r="H4" s="2"/>
      <x:c r="I4" s="2"/>
    </x:row>
    <x:row r="5" ht="31.5" customHeight="1">
      <x:c r="A5" s="10" t="str">
        <x:v>Ekran ID</x:v>
      </x:c>
      <x:c r="B5" s="10" t="str">
        <x:v>Menü / kaynak ekran</x:v>
      </x:c>
      <x:c r="C5" s="10" t="str">
        <x:v>Ekran veya alan anahtarı</x:v>
      </x:c>
      <x:c r="D5" s="10" t="str">
        <x:v>Mevcut durum</x:v>
      </x:c>
      <x:c r="E5" s="10" t="str">
        <x:v>Önerilen akış / özgün FR</x:v>
      </x:c>
      <x:c r="F5" s="10" t="str">
        <x:v>İlişki / özgün TC</x:v>
      </x:c>
      <x:c r="G5" s="10" t="str">
        <x:v>Kabul sınırı / kaynak durum</x:v>
      </x:c>
      <x:c r="H5" s="10" t="str">
        <x:v>Kaynak ID</x:v>
      </x:c>
      <x:c r="I5" s="10" t="str">
        <x:v>Tasarım durumu</x:v>
      </x:c>
    </x:row>
    <x:row r="6" ht="40.5" customHeight="1">
      <x:c r="A6" s="11" t="str">
        <x:v>NAV01</x:v>
      </x:c>
      <x:c r="B6" s="11" t="str">
        <x:v>İSG &gt; Risk Değerlendirmeleri</x:v>
      </x:c>
      <x:c r="C6" s="11" t="str">
        <x:v>risk-assessment</x:v>
      </x:c>
      <x:c r="D6" s="11" t="str">
        <x:v>Mevcut kaynak:20 alan; GROUPS görünürlüğü eksik.</x:v>
      </x:c>
      <x:c r="E6" s="11" t="str">
        <x:v>Baseline / Job JSA ayrı kayıt türü, kapsam filtreli liste.</x:v>
      </x:c>
      <x:c r="F6" s="11" t="str">
        <x:v>RiskAssessment kimliği korunur.</x:v>
      </x:c>
      <x:c r="G6" s="11" t="str">
        <x:v>Menü+arama+rol yolları, SHIP/TUG, tam alanlar ve dirty navigation.</x:v>
      </x:c>
      <x:c r="H6" s="11" t="str">
        <x:v>HT01</x:v>
      </x:c>
      <x:c r="I6" s="11" t="str">
        <x:v>NEW-PROPOSED</x:v>
      </x:c>
    </x:row>
    <x:row r="7" ht="36" customHeight="1">
      <x:c r="A7" s="11" t="str">
        <x:v>NAV02</x:v>
      </x:c>
      <x:c r="B7" s="11" t="str">
        <x:v>İSG &gt; Risk Şablonları</x:v>
      </x:c>
      <x:c r="C7" s="11" t="str">
        <x:v>risk-template-library</x:v>
      </x:c>
      <x:c r="D7" s="11" t="str">
        <x:v>Mevcut kaynak:14 alan; GROUPS görünürlüğü eksik.</x:v>
      </x:c>
      <x:c r="E7" s="11" t="str">
        <x:v>Kaynak/SMS sürümü, taslak, inceleme ve yayın.</x:v>
      </x:c>
      <x:c r="F7" s="11" t="str">
        <x:v>RiskTemplate korunur; iş kopyası yeni onay ister.</x:v>
      </x:c>
      <x:c r="G7" s="11" t="str">
        <x:v>TR/EN aynı kimlik, eski revizyon yeniden yazılmaz.</x:v>
      </x:c>
      <x:c r="H7" s="11" t="str">
        <x:v>HT01</x:v>
      </x:c>
      <x:c r="I7" s="11" t="str">
        <x:v>NEW-PROPOSED</x:v>
      </x:c>
    </x:row>
    <x:row r="8" ht="36" customHeight="1">
      <x:c r="A8" s="11" t="str">
        <x:v>NAV03</x:v>
      </x:c>
      <x:c r="B8" s="11" t="str">
        <x:v>İSG &gt; Yüksek Riskli İşler</x:v>
      </x:c>
      <x:c r="C8" s="11" t="str">
        <x:v>high-risk-work</x:v>
      </x:c>
      <x:c r="D8" s="11" t="str">
        <x:v>Mevcut kaynak:12 alan; GROUPS görünürlüğü eksik.</x:v>
      </x:c>
      <x:c r="E8" s="11" t="str">
        <x:v>Yetkili RA/Permit/işlerden read-model projection.</x:v>
      </x:c>
      <x:c r="F8" s="11" t="str">
        <x:v>Yeni mükerrer Permit aggregate yaratmaz.</x:v>
      </x:c>
      <x:c r="G8" s="11" t="str">
        <x:v>Freshness,scope ve unresolved etkili yetki gösterimi.</x:v>
      </x:c>
      <x:c r="H8" s="11" t="str">
        <x:v>HT01</x:v>
      </x:c>
      <x:c r="I8" s="11" t="str">
        <x:v>NEW-PROPOSED</x:v>
      </x:c>
    </x:row>
    <x:row r="9" ht="40.5" customHeight="1">
      <x:c r="A9" s="11" t="str">
        <x:v>NAV04</x:v>
      </x:c>
      <x:c r="B9" s="11" t="str">
        <x:v>İSG &gt; İş İzinleri</x:v>
      </x:c>
      <x:c r="C9" s="11" t="str">
        <x:v>permits-workspace (aday)</x:v>
      </x:c>
      <x:c r="D9" s="11" t="str">
        <x:v>Permit kavramı/API taslağı var; gerçek PTW form/command yok.</x:v>
      </x:c>
      <x:c r="E9" s="11" t="str">
        <x:v>Açık/askı/süresi dolmuş izin panosu; mahal, ekipman, iş, aile filtreleri.</x:v>
      </x:c>
      <x:c r="F9" s="11" t="str">
        <x:v>Canonical Permit; HSE konumu ikinci kopya değildir.</x:v>
      </x:c>
      <x:c r="G9" s="11" t="str">
        <x:v>Current authority ayrı; cache ACTIVE yeşil geçerli olamaz.</x:v>
      </x:c>
      <x:c r="H9" s="11" t="str">
        <x:v>HT01, HR01</x:v>
      </x:c>
      <x:c r="I9" s="11" t="str">
        <x:v>NEW-PROPOSED</x:v>
      </x:c>
    </x:row>
    <x:row r="10" ht="40.5" customHeight="1">
      <x:c r="A10" s="11" t="str">
        <x:v>NAV05</x:v>
      </x:c>
      <x:c r="B10" s="11" t="str">
        <x:v>İş İzni &gt; Hazırla</x:v>
      </x:c>
      <x:c r="C10" s="11" t="str">
        <x:v>permit-form (aday)</x:v>
      </x:c>
      <x:c r="D10" s="11" t="str">
        <x:v>Yeni form.</x:v>
      </x:c>
      <x:c r="E10" s="11" t="str">
        <x:v>Kimlik/kapsam/zaman → JSA revision → aile ekleri → önkoşullar → insan yetki kaydı.</x:v>
      </x:c>
      <x:c r="F10" s="11" t="str">
        <x:v>Her etkin aile önkoşulu aynı işte eksiksiz.</x:v>
      </x:c>
      <x:c r="G10" s="11" t="str">
        <x:v>DEMO/idari-only kapısı; otomatik risk/izin onayı yok.</x:v>
      </x:c>
      <x:c r="H10" s="11" t="str">
        <x:v>H1, H14, HR01</x:v>
      </x:c>
      <x:c r="I10" s="11" t="str">
        <x:v>NEW-PROPOSED</x:v>
      </x:c>
    </x:row>
    <x:row r="11" ht="40.5" customHeight="1">
      <x:c r="A11" s="11" t="str">
        <x:v>NAV06</x:v>
      </x:c>
      <x:c r="B11" s="11" t="str">
        <x:v>Risk &gt; JSA satır düzenleyici</x:v>
      </x:c>
      <x:c r="C11" s="11" t="str">
        <x:v>jsa-editor (aday)</x:v>
      </x:c>
      <x:c r="D11" s="11" t="str">
        <x:v>Generic renderer ilk12 alanı önizler.</x:v>
      </x:c>
      <x:c r="E11" s="11" t="str">
        <x:v>Adım/tehlike/kontrol tekrarlı kartları; bütün kaynak20 alan + yeni alanlar.</x:v>
      </x:c>
      <x:c r="F11" s="11" t="str">
        <x:v>Stable row IDs; source FR/TC kaybolmaz.</x:v>
      </x:c>
      <x:c r="G11" s="11" t="str">
        <x:v>Ekle/sil/taşı, klavye/ekran okuyucu/mobil, blank≠0.</x:v>
      </x:c>
      <x:c r="H11" s="11" t="str">
        <x:v>HT01</x:v>
      </x:c>
      <x:c r="I11" s="11" t="str">
        <x:v>NEW-PROPOSED</x:v>
      </x:c>
    </x:row>
    <x:row r="12" ht="36" customHeight="1">
      <x:c r="A12" s="11" t="str">
        <x:v>NAV07</x:v>
      </x:c>
      <x:c r="B12" s="11" t="str">
        <x:v>İş &gt; Dinamik saha kaydı</x:v>
      </x:c>
      <x:c r="C12" s="11" t="str">
        <x:v>dynamic-assessment (aday)</x:v>
      </x:c>
      <x:c r="D12" s="11" t="str">
        <x:v>Yeni kayıt.</x:v>
      </x:c>
      <x:c r="E12" s="11" t="str">
        <x:v>Gözlem/koşul/etkilenen izin/stop-work/yeni önlem/inceleme.</x:v>
      </x:c>
      <x:c r="F12" s="11" t="str">
        <x:v>Formal RA ve Permit yerine geçmez.</x:v>
      </x:c>
      <x:c r="G12" s="11" t="str">
        <x:v>Kritik değişiklikte effective authority invalidation.</x:v>
      </x:c>
      <x:c r="H12" s="11" t="str">
        <x:v>H1, HR01</x:v>
      </x:c>
      <x:c r="I12" s="11" t="str">
        <x:v>NEW-PROPOSED</x:v>
      </x:c>
    </x:row>
    <x:row r="13" ht="36" customHeight="1">
      <x:c r="A13" s="11" t="str">
        <x:v>NAV08</x:v>
      </x:c>
      <x:c r="B13" s="11" t="str">
        <x:v>İzin &gt; Kontroller ve kanıt</x:v>
      </x:c>
      <x:c r="C13" s="11" t="str">
        <x:v>permit-controls (aday)</x:v>
      </x:c>
      <x:c r="D13" s="11" t="str">
        <x:v>Yeni bağlantılı görünüm.</x:v>
      </x:c>
      <x:c r="E13" s="11" t="str">
        <x:v>Ölçüm, izolasyon, SIMOPS, rol/yeterlik ve kanıt güncelliği.</x:v>
      </x:c>
      <x:c r="F13" s="11" t="str">
        <x:v>Evidence karantinası aynen korunur.</x:v>
      </x:c>
      <x:c r="G13" s="11" t="str">
        <x:v>Yalnız upload ile tamamlanma yok.</x:v>
      </x:c>
      <x:c r="H13" s="11" t="str">
        <x:v>HT01, HR01</x:v>
      </x:c>
      <x:c r="I13" s="11" t="str">
        <x:v>NEW-PROPOSED</x:v>
      </x:c>
    </x:row>
    <x:row r="14" ht="40.5" customHeight="1">
      <x:c r="A14" s="11" t="str">
        <x:v>NAV09</x:v>
      </x:c>
      <x:c r="B14" s="11" t="str">
        <x:v>İzin &gt; Askı / teslim / geçmiş</x:v>
      </x:c>
      <x:c r="C14" s="11" t="str">
        <x:v>permit-lifecycle (aday)</x:v>
      </x:c>
      <x:c r="D14" s="11" t="str">
        <x:v>Yeni komut görünümü.</x:v>
      </x:c>
      <x:c r="E14" s="11" t="str">
        <x:v>Askı nedeni, yeniden değerlendirme, devir, handback, close, audit.</x:v>
      </x:c>
      <x:c r="F14" s="11" t="str">
        <x:v>Yetkili command; tarihçe append-only.</x:v>
      </x:c>
      <x:c r="G14" s="11" t="str">
        <x:v>Close izolasyon release değil; stale tab autosubmit yok.</x:v>
      </x:c>
      <x:c r="H14" s="11" t="str">
        <x:v>HT01, H14</x:v>
      </x:c>
      <x:c r="I14" s="11" t="str">
        <x:v>NEW-PROPOSED</x:v>
      </x:c>
    </x:row>
    <x:row r="15" ht="36" customHeight="1">
      <x:c r="A15" s="11" t="str">
        <x:v>NAV10</x:v>
      </x:c>
      <x:c r="B15" s="11" t="str">
        <x:v>İSG &gt; Acil plan erişimi</x:v>
      </x:c>
      <x:c r="C15" s="11" t="str">
        <x:v>approved-emergency-plan-ref</x:v>
      </x:c>
      <x:c r="D15" s="11" t="str">
        <x:v>Onaylı gemi planına bağlantı önerisi.</x:v>
      </x:c>
      <x:c r="E15" s="11" t="str">
        <x:v>Yetkili acil planı göster; form tamamlama bekletme.</x:v>
      </x:c>
      <x:c r="F15" s="11" t="str">
        <x:v>Yeni kurtarma talimatı veya alan giriş yetkisi üretmez.</x:v>
      </x:c>
      <x:c r="G15" s="11" t="str">
        <x:v>Gösterim yetkisi ve güncellik; sağlık verisi kopyası yok.</x:v>
      </x:c>
      <x:c r="H15" s="11" t="str">
        <x:v>H1, HR01</x:v>
      </x:c>
      <x:c r="I15" s="11" t="str">
        <x:v>NEW-PROPOSED</x:v>
      </x:c>
    </x:row>
    <x:row r="16" ht="36" customHeight="1">
      <x:c r="A16" s="11" t="str">
        <x:v>REF01</x:v>
      </x:c>
      <x:c r="B16" s="11" t="str">
        <x:v>ship-operations</x:v>
      </x:c>
      <x:c r="C16" s="11" t="str">
        <x:v>permit_id</x:v>
      </x:c>
      <x:c r="D16" s="11" t="str">
        <x:v>Permit ID — mevcut referans alanı, gerçek izin formu değil.</x:v>
      </x:c>
      <x:c r="E16" s="11" t="str">
        <x:v>FR-ship-operations-permit_id</x:v>
      </x:c>
      <x:c r="F16" s="11" t="str">
        <x:v>NOT_EXTRACTED</x:v>
      </x:c>
      <x:c r="G16" s="11" t="str">
        <x:v>NOT_A_PERMIT_FORM</x:v>
      </x:c>
      <x:c r="H16" s="11" t="str">
        <x:v>HT01</x:v>
      </x:c>
      <x:c r="I16" s="11" t="str">
        <x:v>SOURCE_REFERENCE_ONLY</x:v>
      </x:c>
    </x:row>
    <x:row r="17" ht="36" customHeight="1">
      <x:c r="A17" s="11" t="str">
        <x:v>REF02</x:v>
      </x:c>
      <x:c r="B17" s="11" t="str">
        <x:v>departure-readiness</x:v>
      </x:c>
      <x:c r="C17" s="11" t="str">
        <x:v>permit_id</x:v>
      </x:c>
      <x:c r="D17" s="11" t="str">
        <x:v>Permit ID — mevcut referans alanı, gerçek izin formu değil.</x:v>
      </x:c>
      <x:c r="E17" s="11" t="str">
        <x:v>FR-departure-readiness-permit_id</x:v>
      </x:c>
      <x:c r="F17" s="11" t="str">
        <x:v>NOT_EXTRACTED</x:v>
      </x:c>
      <x:c r="G17" s="11" t="str">
        <x:v>NOT_A_PERMIT_FORM</x:v>
      </x:c>
      <x:c r="H17" s="11" t="str">
        <x:v>HT01</x:v>
      </x:c>
      <x:c r="I17" s="11" t="str">
        <x:v>SOURCE_REFERENCE_ONLY</x:v>
      </x:c>
    </x:row>
    <x:row r="18" ht="36" customHeight="1">
      <x:c r="A18" s="11" t="str">
        <x:v>REF03</x:v>
      </x:c>
      <x:c r="B18" s="11" t="str">
        <x:v>departure-signoff</x:v>
      </x:c>
      <x:c r="C18" s="11" t="str">
        <x:v>permit_id</x:v>
      </x:c>
      <x:c r="D18" s="11" t="str">
        <x:v>Permit ID — mevcut referans alanı, gerçek izin formu değil.</x:v>
      </x:c>
      <x:c r="E18" s="11" t="str">
        <x:v>FR-departure-signoff-permit_id</x:v>
      </x:c>
      <x:c r="F18" s="11" t="str">
        <x:v>NOT_EXTRACTED</x:v>
      </x:c>
      <x:c r="G18" s="11" t="str">
        <x:v>NOT_A_PERMIT_FORM</x:v>
      </x:c>
      <x:c r="H18" s="11" t="str">
        <x:v>HT01</x:v>
      </x:c>
      <x:c r="I18" s="11" t="str">
        <x:v>SOURCE_REFERENCE_ONLY</x:v>
      </x:c>
    </x:row>
    <x:row r="19" ht="36" customHeight="1">
      <x:c r="A19" s="11" t="str">
        <x:v>REF04</x:v>
      </x:c>
      <x:c r="B19" s="11" t="str">
        <x:v>voyage-live</x:v>
      </x:c>
      <x:c r="C19" s="11" t="str">
        <x:v>permit_id</x:v>
      </x:c>
      <x:c r="D19" s="11" t="str">
        <x:v>Permit ID — mevcut referans alanı, gerçek izin formu değil.</x:v>
      </x:c>
      <x:c r="E19" s="11" t="str">
        <x:v>FR-voyage-live-permit_id</x:v>
      </x:c>
      <x:c r="F19" s="11" t="str">
        <x:v>NOT_EXTRACTED</x:v>
      </x:c>
      <x:c r="G19" s="11" t="str">
        <x:v>NOT_A_PERMIT_FORM</x:v>
      </x:c>
      <x:c r="H19" s="11" t="str">
        <x:v>HT01</x:v>
      </x:c>
      <x:c r="I19" s="11" t="str">
        <x:v>SOURCE_REFERENCE_ONLY</x:v>
      </x:c>
    </x:row>
    <x:row r="20" ht="40.5" customHeight="1">
      <x:c r="A20" s="11" t="str">
        <x:v>REF05</x:v>
      </x:c>
      <x:c r="B20" s="11" t="str">
        <x:v>watch-handover</x:v>
      </x:c>
      <x:c r="C20" s="11" t="str">
        <x:v>open_operations</x:v>
      </x:c>
      <x:c r="D20" s="11" t="str">
        <x:v>Open Permits / Operations — mevcut referans alanı, gerçek izin formu değil.</x:v>
      </x:c>
      <x:c r="E20" s="11" t="str">
        <x:v>FR-watch-handover-open_operations</x:v>
      </x:c>
      <x:c r="F20" s="11" t="str">
        <x:v>NOT_EXTRACTED</x:v>
      </x:c>
      <x:c r="G20" s="11" t="str">
        <x:v>NOT_A_PERMIT_FORM</x:v>
      </x:c>
      <x:c r="H20" s="11" t="str">
        <x:v>HT01</x:v>
      </x:c>
      <x:c r="I20" s="11" t="str">
        <x:v>SOURCE_REFERENCE_ONLY</x:v>
      </x:c>
    </x:row>
    <x:row r="21" ht="36" customHeight="1">
      <x:c r="A21" s="11" t="str">
        <x:v>REF06</x:v>
      </x:c>
      <x:c r="B21" s="11" t="str">
        <x:v>arrival-readiness</x:v>
      </x:c>
      <x:c r="C21" s="11" t="str">
        <x:v>permit_id</x:v>
      </x:c>
      <x:c r="D21" s="11" t="str">
        <x:v>Permit ID — mevcut referans alanı, gerçek izin formu değil.</x:v>
      </x:c>
      <x:c r="E21" s="11" t="str">
        <x:v>FR-arrival-readiness-permit_id</x:v>
      </x:c>
      <x:c r="F21" s="11" t="str">
        <x:v>NOT_EXTRACTED</x:v>
      </x:c>
      <x:c r="G21" s="11" t="str">
        <x:v>NOT_A_PERMIT_FORM</x:v>
      </x:c>
      <x:c r="H21" s="11" t="str">
        <x:v>HT01</x:v>
      </x:c>
      <x:c r="I21" s="11" t="str">
        <x:v>SOURCE_REFERENCE_ONLY</x:v>
      </x:c>
    </x:row>
    <x:row r="22" ht="40.5" customHeight="1">
      <x:c r="A22" s="11" t="str">
        <x:v>REF07</x:v>
      </x:c>
      <x:c r="B22" s="11" t="str">
        <x:v>job-pool</x:v>
      </x:c>
      <x:c r="C22" s="11" t="str">
        <x:v>permit_required</x:v>
      </x:c>
      <x:c r="D22" s="11" t="str">
        <x:v>Permit Required — mevcut referans alanı, gerçek izin formu değil.</x:v>
      </x:c>
      <x:c r="E22" s="11" t="str">
        <x:v>FR46-job-pool-permit_required</x:v>
      </x:c>
      <x:c r="F22" s="11" t="str">
        <x:v>NOT_EXTRACTED</x:v>
      </x:c>
      <x:c r="G22" s="11" t="str">
        <x:v>NOT_A_PERMIT_FORM</x:v>
      </x:c>
      <x:c r="H22" s="11" t="str">
        <x:v>HT01</x:v>
      </x:c>
      <x:c r="I22" s="11" t="str">
        <x:v>SOURCE_REFERENCE_ONLY</x:v>
      </x:c>
    </x:row>
    <x:row r="23" ht="40.5" customHeight="1">
      <x:c r="A23" s="11" t="str">
        <x:v>REF08</x:v>
      </x:c>
      <x:c r="B23" s="11" t="str">
        <x:v>work-order-center</x:v>
      </x:c>
      <x:c r="C23" s="11" t="str">
        <x:v>permit_status</x:v>
      </x:c>
      <x:c r="D23" s="11" t="str">
        <x:v>Permit Status — mevcut referans alanı, gerçek izin formu değil.</x:v>
      </x:c>
      <x:c r="E23" s="11" t="str">
        <x:v>FR46-work-order-center-permit_status</x:v>
      </x:c>
      <x:c r="F23" s="11" t="str">
        <x:v>NOT_EXTRACTED</x:v>
      </x:c>
      <x:c r="G23" s="11" t="str">
        <x:v>NOT_A_PERMIT_FORM</x:v>
      </x:c>
      <x:c r="H23" s="11" t="str">
        <x:v>HT01</x:v>
      </x:c>
      <x:c r="I23" s="11" t="str">
        <x:v>SOURCE_REFERENCE_ONLY</x:v>
      </x:c>
    </x:row>
  </x:sheetData>
  <x:pageMargins left="0.7" right="0.7" top="0.75" bottom="0.75" header="0.3" footer="0.3"/>
  <x:tableParts count="1">
    <x:tablePart xmlns:r="http://schemas.openxmlformats.org/officeDocument/2006/relationships" r:id="R8cf1279c168241c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1" hidden="0" customWidth="1"/>
    <x:col min="3" max="3" width="24.5" hidden="0" customWidth="1"/>
    <x:col min="4" max="4" width="61" hidden="0" customWidth="1"/>
    <x:col min="5" max="5" width="14.5" hidden="0" customWidth="1"/>
    <x:col min="6" max="6" width="14.5" hidden="0" customWidth="1"/>
    <x:col min="7" max="7" width="14.5" hidden="0" customWidth="1"/>
    <x:col min="8" max="8" width="30" hidden="0" customWidth="1"/>
    <x:col min="9" max="9" width="14.5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Yeni kabul senaryoları ve kanıt kaydı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5" t="str">
        <x:v>Sarı hücreler inceleme girdisidir. Tamamlanan satır gerçek çalışma izni veya release yetkisi üretmez.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1.5" customHeight="1">
      <x:c r="A5" s="10" t="str">
        <x:v>Vaka ID</x:v>
      </x:c>
      <x:c r="B5" s="10" t="str">
        <x:v>Kapı</x:v>
      </x:c>
      <x:c r="C5" s="10" t="str">
        <x:v>Konu</x:v>
      </x:c>
      <x:c r="D5" s="10" t="str">
        <x:v>Kabul koşulu</x:v>
      </x:c>
      <x:c r="E5" s="10" t="str">
        <x:v>Teknik karar</x:v>
      </x:c>
      <x:c r="F5" s="10" t="str">
        <x:v>Kanıt kaydı</x:v>
      </x:c>
      <x:c r="G5" s="10" t="str">
        <x:v>Yetkili onay</x:v>
      </x:c>
      <x:c r="H5" s="10" t="str">
        <x:v>Kanıt / karar referansı</x:v>
      </x:c>
      <x:c r="I5" s="10" t="str">
        <x:v>Hesaplanan durum</x:v>
      </x:c>
      <x:c r="J5" s="10" t="str">
        <x:v>Test yürütme durumu</x:v>
      </x:c>
      <x:c r="K5" s="10" t="str">
        <x:v>Kaynak ID</x:v>
      </x:c>
    </x:row>
    <x:row r="6" ht="40.5" customHeight="1">
      <x:c r="A6" s="11" t="str">
        <x:v>HSE-AT01</x:v>
      </x:c>
      <x:c r="B6" s="11" t="str">
        <x:v>HSE-G02</x:v>
      </x:c>
      <x:c r="C6" s="11" t="str">
        <x:v>46 kaynak alanı</x:v>
      </x:c>
      <x:c r="D6" s="11" t="str">
        <x:v>20 RA +14 template +12 high-risk; tüm FR/TC ve kaynak değerleri kayıpsız. Yeni alanlar NEW-PROPOSED ayrı.</x:v>
      </x:c>
      <x:c r="E6" s="12" t="str">
        <x:v>Bekliyor</x:v>
      </x:c>
      <x:c r="F6" s="12" t="str">
        <x:v>Bekliyor</x:v>
      </x:c>
      <x:c r="G6" s="12" t="str">
        <x:v>Bekliyor</x:v>
      </x:c>
      <x:c r="H6" s="12" t="str"/>
      <x:c r="I6" s="11" t="str">
        <x:f>IF(AND(E6="Onaylandı",F6="Kanıt eklendi",G6="Onaylandı",H6&lt;&gt;"",J6="RUN / PASS"),"Tamam","Açık")</x:f>
        <x:v>Açık</x:v>
      </x:c>
      <x:c r="J6" s="12" t="str">
        <x:v>PLANNED / NOT_RUN</x:v>
      </x:c>
      <x:c r="K6" s="11" t="str">
        <x:v>HT01</x:v>
      </x:c>
    </x:row>
    <x:row r="7" ht="36" customHeight="1">
      <x:c r="A7" s="11" t="str">
        <x:v>HSE-AT02</x:v>
      </x:c>
      <x:c r="B7" s="11" t="str">
        <x:v>HSE-G08</x:v>
      </x:c>
      <x:c r="C7" s="11" t="str">
        <x:v>Gezinim</x:v>
      </x:c>
      <x:c r="D7" s="11" t="str">
        <x:v>SHIP/TUG menü ve arama RA/şablon/high-risk/PTW yollarını bulur; yetkisiz kayıt/sayım sızmaz.</x:v>
      </x:c>
      <x:c r="E7" s="12" t="str">
        <x:v>Bekliyor</x:v>
      </x:c>
      <x:c r="F7" s="12" t="str">
        <x:v>Bekliyor</x:v>
      </x:c>
      <x:c r="G7" s="12" t="str">
        <x:v>Bekliyor</x:v>
      </x:c>
      <x:c r="H7" s="12" t="str"/>
      <x:c r="I7" s="11" t="str">
        <x:f>IF(AND(E7="Onaylandı",F7="Kanıt eklendi",G7="Onaylandı",H7&lt;&gt;"",J7="RUN / PASS"),"Tamam","Açık")</x:f>
        <x:v>Açık</x:v>
      </x:c>
      <x:c r="J7" s="12" t="str">
        <x:v>PLANNED / NOT_RUN</x:v>
      </x:c>
      <x:c r="K7" s="11" t="str">
        <x:v>HT01 H01</x:v>
      </x:c>
    </x:row>
    <x:row r="8" ht="36" customHeight="1">
      <x:c r="A8" s="11" t="str">
        <x:v>HSE-AT03</x:v>
      </x:c>
      <x:c r="B8" s="11" t="str">
        <x:v>HSE-G02</x:v>
      </x:c>
      <x:c r="C8" s="11" t="str">
        <x:v>Tam JSA yapısı</x:v>
      </x:c>
      <x:c r="D8" s="11" t="str">
        <x:v>Birden çok step/hazard/control satırı ekle/sil/taşı; stable ID ve tüm20 kaynak alanı korunur.</x:v>
      </x:c>
      <x:c r="E8" s="12" t="str">
        <x:v>Bekliyor</x:v>
      </x:c>
      <x:c r="F8" s="12" t="str">
        <x:v>Bekliyor</x:v>
      </x:c>
      <x:c r="G8" s="12" t="str">
        <x:v>Bekliyor</x:v>
      </x:c>
      <x:c r="H8" s="12" t="str"/>
      <x:c r="I8" s="11" t="str">
        <x:f>IF(AND(E8="Onaylandı",F8="Kanıt eklendi",G8="Onaylandı",H8&lt;&gt;"",J8="RUN / PASS"),"Tamam","Açık")</x:f>
        <x:v>Açık</x:v>
      </x:c>
      <x:c r="J8" s="12" t="str">
        <x:v>PLANNED / NOT_RUN</x:v>
      </x:c>
      <x:c r="K8" s="11" t="str">
        <x:v>HT01 H02</x:v>
      </x:c>
    </x:row>
    <x:row r="9" ht="36" customHeight="1">
      <x:c r="A9" s="11" t="str">
        <x:v>HSE-AT04</x:v>
      </x:c>
      <x:c r="B9" s="11" t="str">
        <x:v>HSE-G02</x:v>
      </x:c>
      <x:c r="C9" s="11" t="str">
        <x:v>Sürüm değişmezliği</x:v>
      </x:c>
      <x:c r="D9" s="11" t="str">
        <x:v>Baseline/template değişimi eski job JSA revizyonunu veya onaylı geçmişi değiştirmez.</x:v>
      </x:c>
      <x:c r="E9" s="12" t="str">
        <x:v>Bekliyor</x:v>
      </x:c>
      <x:c r="F9" s="12" t="str">
        <x:v>Bekliyor</x:v>
      </x:c>
      <x:c r="G9" s="12" t="str">
        <x:v>Bekliyor</x:v>
      </x:c>
      <x:c r="H9" s="12" t="str"/>
      <x:c r="I9" s="11" t="str">
        <x:f>IF(AND(E9="Onaylandı",F9="Kanıt eklendi",G9="Onaylandı",H9&lt;&gt;"",J9="RUN / PASS"),"Tamam","Açık")</x:f>
        <x:v>Açık</x:v>
      </x:c>
      <x:c r="J9" s="12" t="str">
        <x:v>PLANNED / NOT_RUN</x:v>
      </x:c>
      <x:c r="K9" s="11" t="str">
        <x:v>HT01 H03</x:v>
      </x:c>
    </x:row>
    <x:row r="10" ht="40.5" customHeight="1">
      <x:c r="A10" s="11" t="str">
        <x:v>HSE-AT05</x:v>
      </x:c>
      <x:c r="B10" s="11" t="str">
        <x:v>HSE-G04</x:v>
      </x:c>
      <x:c r="C10" s="11" t="str">
        <x:v>HSE-C01 kritik RA değişimi</x:v>
      </x:c>
      <x:c r="D10" s="11" t="str">
        <x:v>Kritik bağlı RA revizyonu değişince mevcut effective VALID askıya/geçersiz/REVIEW_REQUIRED olur. Uyarı tek başına PASS değil.</x:v>
      </x:c>
      <x:c r="E10" s="12" t="str">
        <x:v>Bekliyor</x:v>
      </x:c>
      <x:c r="F10" s="12" t="str">
        <x:v>Bekliyor</x:v>
      </x:c>
      <x:c r="G10" s="12" t="str">
        <x:v>Bekliyor</x:v>
      </x:c>
      <x:c r="H10" s="12" t="str"/>
      <x:c r="I10" s="11" t="str">
        <x:f>IF(AND(E10="Onaylandı",F10="Kanıt eklendi",G10="Onaylandı",H10&lt;&gt;"",J10="RUN / PASS"),"Tamam","Açık")</x:f>
        <x:v>Açık</x:v>
      </x:c>
      <x:c r="J10" s="12" t="str">
        <x:v>PLANNED / NOT_RUN</x:v>
      </x:c>
      <x:c r="K10" s="11" t="str">
        <x:v>HR01</x:v>
      </x:c>
    </x:row>
    <x:row r="11" ht="40.5" customHeight="1">
      <x:c r="A11" s="11" t="str">
        <x:v>HSE-AT06</x:v>
      </x:c>
      <x:c r="B11" s="11" t="str">
        <x:v>HSE-G04</x:v>
      </x:c>
      <x:c r="C11" s="11" t="str">
        <x:v>Kritik koşul değişimi</x:v>
      </x:c>
      <x:c r="D11" s="11" t="str">
        <x:v>Ekip/mahal/izolasyon/ölçüm/bariyer/koşul kritik değişimi eski etkin yetkiyi açıkça etkisiz kılar; sessiz reissue yok.</x:v>
      </x:c>
      <x:c r="E11" s="12" t="str">
        <x:v>Bekliyor</x:v>
      </x:c>
      <x:c r="F11" s="12" t="str">
        <x:v>Bekliyor</x:v>
      </x:c>
      <x:c r="G11" s="12" t="str">
        <x:v>Bekliyor</x:v>
      </x:c>
      <x:c r="H11" s="12" t="str"/>
      <x:c r="I11" s="11" t="str">
        <x:f>IF(AND(E11="Onaylandı",F11="Kanıt eklendi",G11="Onaylandı",H11&lt;&gt;"",J11="RUN / PASS"),"Tamam","Açık")</x:f>
        <x:v>Açık</x:v>
      </x:c>
      <x:c r="J11" s="12" t="str">
        <x:v>PLANNED / NOT_RUN</x:v>
      </x:c>
      <x:c r="K11" s="11" t="str">
        <x:v>H1, HR01</x:v>
      </x:c>
    </x:row>
    <x:row r="12" ht="36" customHeight="1">
      <x:c r="A12" s="11" t="str">
        <x:v>HSE-AT07</x:v>
      </x:c>
      <x:c r="B12" s="11" t="str">
        <x:v>HSE-G04</x:v>
      </x:c>
      <x:c r="C12" s="11" t="str">
        <x:v>RA ve PTW ayrımı</x:v>
      </x:c>
      <x:c r="D12" s="11" t="str">
        <x:v>Baseline review veya düşük residual risk PTW issue/activate yetkisini doğurmaz.</x:v>
      </x:c>
      <x:c r="E12" s="12" t="str">
        <x:v>Bekliyor</x:v>
      </x:c>
      <x:c r="F12" s="12" t="str">
        <x:v>Bekliyor</x:v>
      </x:c>
      <x:c r="G12" s="12" t="str">
        <x:v>Bekliyor</x:v>
      </x:c>
      <x:c r="H12" s="12" t="str"/>
      <x:c r="I12" s="11" t="str">
        <x:f>IF(AND(E12="Onaylandı",F12="Kanıt eklendi",G12="Onaylandı",H12&lt;&gt;"",J12="RUN / PASS"),"Tamam","Açık")</x:f>
        <x:v>Açık</x:v>
      </x:c>
      <x:c r="J12" s="12" t="str">
        <x:v>PLANNED / NOT_RUN</x:v>
      </x:c>
      <x:c r="K12" s="11" t="str">
        <x:v>HT01 H05</x:v>
      </x:c>
    </x:row>
    <x:row r="13" ht="40.5" customHeight="1">
      <x:c r="A13" s="11" t="str">
        <x:v>HSE-AT08</x:v>
      </x:c>
      <x:c r="B13" s="11" t="str">
        <x:v>HSE-G03</x:v>
      </x:c>
      <x:c r="C13" s="11" t="str">
        <x:v>HSE-P2-01 P0 sınırı</x:v>
      </x:c>
      <x:c r="D13" s="11" t="str">
        <x:v>Her enabled family için uygulanabilir isolation/SIMOPS/competence/current evidence ve yetkili karar eksik/ertelenmiş/stale/unresolved ise effective VALID yok. P0 DEMO/idari-only.</x:v>
      </x:c>
      <x:c r="E13" s="12" t="str">
        <x:v>Bekliyor</x:v>
      </x:c>
      <x:c r="F13" s="12" t="str">
        <x:v>Bekliyor</x:v>
      </x:c>
      <x:c r="G13" s="12" t="str">
        <x:v>Bekliyor</x:v>
      </x:c>
      <x:c r="H13" s="12" t="str"/>
      <x:c r="I13" s="11" t="str">
        <x:f>IF(AND(E13="Onaylandı",F13="Kanıt eklendi",G13="Onaylandı",H13&lt;&gt;"",J13="RUN / PASS"),"Tamam","Açık")</x:f>
        <x:v>Açık</x:v>
      </x:c>
      <x:c r="J13" s="12" t="str">
        <x:v>PLANNED / NOT_RUN</x:v>
      </x:c>
      <x:c r="K13" s="11" t="str">
        <x:v>HR01</x:v>
      </x:c>
    </x:row>
    <x:row r="14" ht="40.5" customHeight="1">
      <x:c r="A14" s="11" t="str">
        <x:v>HSE-AT09</x:v>
      </x:c>
      <x:c r="B14" s="11" t="str">
        <x:v>HSE-G03</x:v>
      </x:c>
      <x:c r="C14" s="11" t="str">
        <x:v>Aile uygulanabilirliği</x:v>
      </x:c>
      <x:c r="D14" s="11" t="str">
        <x:v>Gerekli aileler kaynak/risk/SMS profiline göre; not-applicable gerekçeli, unknown uygun değil. Tüm tug işleri hot-work sayılmaz.</x:v>
      </x:c>
      <x:c r="E14" s="12" t="str">
        <x:v>Bekliyor</x:v>
      </x:c>
      <x:c r="F14" s="12" t="str">
        <x:v>Bekliyor</x:v>
      </x:c>
      <x:c r="G14" s="12" t="str">
        <x:v>Bekliyor</x:v>
      </x:c>
      <x:c r="H14" s="12" t="str"/>
      <x:c r="I14" s="11" t="str">
        <x:f>IF(AND(E14="Onaylandı",F14="Kanıt eklendi",G14="Onaylandı",H14&lt;&gt;"",J14="RUN / PASS"),"Tamam","Açık")</x:f>
        <x:v>Açık</x:v>
      </x:c>
      <x:c r="J14" s="12" t="str">
        <x:v>PLANNED / NOT_RUN</x:v>
      </x:c>
      <x:c r="K14" s="11" t="str">
        <x:v>HT01 H06</x:v>
      </x:c>
    </x:row>
    <x:row r="15" ht="36" customHeight="1">
      <x:c r="A15" s="11" t="str">
        <x:v>HSE-AT10</x:v>
      </x:c>
      <x:c r="B15" s="11" t="str">
        <x:v>HSE-G01</x:v>
      </x:c>
      <x:c r="C15" s="11" t="str">
        <x:v>Yöntem ve boş veri</x:v>
      </x:c>
      <x:c r="D15" s="11" t="str">
        <x:v>Yöntem/scale/eşik onaysızsa skor yok. Blank≠0;5×5 default yok; düşük skor otomatik kabul yok.</x:v>
      </x:c>
      <x:c r="E15" s="12" t="str">
        <x:v>Bekliyor</x:v>
      </x:c>
      <x:c r="F15" s="12" t="str">
        <x:v>Bekliyor</x:v>
      </x:c>
      <x:c r="G15" s="12" t="str">
        <x:v>Bekliyor</x:v>
      </x:c>
      <x:c r="H15" s="12" t="str"/>
      <x:c r="I15" s="11" t="str">
        <x:f>IF(AND(E15="Onaylandı",F15="Kanıt eklendi",G15="Onaylandı",H15&lt;&gt;"",J15="RUN / PASS"),"Tamam","Açık")</x:f>
        <x:v>Açık</x:v>
      </x:c>
      <x:c r="J15" s="12" t="str">
        <x:v>PLANNED / NOT_RUN</x:v>
      </x:c>
      <x:c r="K15" s="11" t="str">
        <x:v>H10, H11</x:v>
      </x:c>
    </x:row>
    <x:row r="16" ht="40.5" customHeight="1">
      <x:c r="A16" s="11" t="str">
        <x:v>HSE-AT11</x:v>
      </x:c>
      <x:c r="B16" s="11" t="str">
        <x:v>HSE-G01</x:v>
      </x:c>
      <x:c r="C16" s="11" t="str">
        <x:v>Süre kaynak kapsamı</x:v>
      </x:c>
      <x:c r="D16" s="11" t="str">
        <x:v>MSC.581 kapalı alan8 saat tavsiyesi ile COSWP genel24 saat farklı bağlam; evrensel default yok. RA2/4/6 yıl PTW süresi değil.</x:v>
      </x:c>
      <x:c r="E16" s="12" t="str">
        <x:v>Bekliyor</x:v>
      </x:c>
      <x:c r="F16" s="12" t="str">
        <x:v>Bekliyor</x:v>
      </x:c>
      <x:c r="G16" s="12" t="str">
        <x:v>Bekliyor</x:v>
      </x:c>
      <x:c r="H16" s="12" t="str"/>
      <x:c r="I16" s="11" t="str">
        <x:f>IF(AND(E16="Onaylandı",F16="Kanıt eklendi",G16="Onaylandı",H16&lt;&gt;"",J16="RUN / PASS"),"Tamam","Açık")</x:f>
        <x:v>Açık</x:v>
      </x:c>
      <x:c r="J16" s="12" t="str">
        <x:v>PLANNED / NOT_RUN</x:v>
      </x:c>
      <x:c r="K16" s="11" t="str">
        <x:v>H1, H11, H14</x:v>
      </x:c>
    </x:row>
    <x:row r="17" ht="40.5" customHeight="1">
      <x:c r="A17" s="11" t="str">
        <x:v>HSE-AT12</x:v>
      </x:c>
      <x:c r="B17" s="11" t="str">
        <x:v>HSE-G05</x:v>
      </x:c>
      <x:c r="C17" s="11" t="str">
        <x:v>Scope ve yetki</x:v>
      </x:c>
      <x:c r="D17" s="11" t="str">
        <x:v>Yanlış tenant/vessel/job/object, viewer-write, forged actor/state ve revoke reddedilir. Role label onay grant oluşturmaz.</x:v>
      </x:c>
      <x:c r="E17" s="12" t="str">
        <x:v>Bekliyor</x:v>
      </x:c>
      <x:c r="F17" s="12" t="str">
        <x:v>Bekliyor</x:v>
      </x:c>
      <x:c r="G17" s="12" t="str">
        <x:v>Bekliyor</x:v>
      </x:c>
      <x:c r="H17" s="12" t="str"/>
      <x:c r="I17" s="11" t="str">
        <x:f>IF(AND(E17="Onaylandı",F17="Kanıt eklendi",G17="Onaylandı",H17&lt;&gt;"",J17="RUN / PASS"),"Tamam","Açık")</x:f>
        <x:v>Açık</x:v>
      </x:c>
      <x:c r="J17" s="12" t="str">
        <x:v>PLANNED / NOT_RUN</x:v>
      </x:c>
      <x:c r="K17" s="11" t="str">
        <x:v>HT01 H07</x:v>
      </x:c>
    </x:row>
    <x:row r="18" ht="40.5" customHeight="1">
      <x:c r="A18" s="11" t="str">
        <x:v>HSE-AT13</x:v>
      </x:c>
      <x:c r="B18" s="11" t="str">
        <x:v>HSE-G05</x:v>
      </x:c>
      <x:c r="C18" s="11" t="str">
        <x:v>CSRF ve stale tab</x:v>
      </x:c>
      <x:c r="D18" s="11" t="str">
        <x:v>Unsafe cookie komutta CSRF+scope; scope değişimi/dirty cancel ve eski async yanıt yanlış submit oluşturmaz.</x:v>
      </x:c>
      <x:c r="E18" s="12" t="str">
        <x:v>Bekliyor</x:v>
      </x:c>
      <x:c r="F18" s="12" t="str">
        <x:v>Bekliyor</x:v>
      </x:c>
      <x:c r="G18" s="12" t="str">
        <x:v>Bekliyor</x:v>
      </x:c>
      <x:c r="H18" s="12" t="str"/>
      <x:c r="I18" s="11" t="str">
        <x:f>IF(AND(E18="Onaylandı",F18="Kanıt eklendi",G18="Onaylandı",H18&lt;&gt;"",J18="RUN / PASS"),"Tamam","Açık")</x:f>
        <x:v>Açık</x:v>
      </x:c>
      <x:c r="J18" s="12" t="str">
        <x:v>PLANNED / NOT_RUN</x:v>
      </x:c>
      <x:c r="K18" s="11" t="str">
        <x:v>HT01</x:v>
      </x:c>
    </x:row>
    <x:row r="19" ht="36" customHeight="1">
      <x:c r="A19" s="11" t="str">
        <x:v>HSE-AT14</x:v>
      </x:c>
      <x:c r="B19" s="11" t="str">
        <x:v>HSE-G05</x:v>
      </x:c>
      <x:c r="C19" s="11" t="str">
        <x:v>If-Match ve atomiklik</x:v>
      </x:c>
      <x:c r="D19" s="11" t="str">
        <x:v>İki editör/412 ve DB failure sonrası yanlış başarı yok; state/audit/idempotency atomik.</x:v>
      </x:c>
      <x:c r="E19" s="12" t="str">
        <x:v>Bekliyor</x:v>
      </x:c>
      <x:c r="F19" s="12" t="str">
        <x:v>Bekliyor</x:v>
      </x:c>
      <x:c r="G19" s="12" t="str">
        <x:v>Bekliyor</x:v>
      </x:c>
      <x:c r="H19" s="12" t="str"/>
      <x:c r="I19" s="11" t="str">
        <x:f>IF(AND(E19="Onaylandı",F19="Kanıt eklendi",G19="Onaylandı",H19&lt;&gt;"",J19="RUN / PASS"),"Tamam","Açık")</x:f>
        <x:v>Açık</x:v>
      </x:c>
      <x:c r="J19" s="12" t="str">
        <x:v>PLANNED / NOT_RUN</x:v>
      </x:c>
      <x:c r="K19" s="11" t="str">
        <x:v>HT01 H08</x:v>
      </x:c>
    </x:row>
    <x:row r="20" ht="40.5" customHeight="1">
      <x:c r="A20" s="11" t="str">
        <x:v>HSE-AT15</x:v>
      </x:c>
      <x:c r="B20" s="11" t="str">
        <x:v>HSE-G05</x:v>
      </x:c>
      <x:c r="C20" s="11" t="str">
        <x:v>Replay ve belirsiz anahtar</x:v>
      </x:c>
      <x:c r="D20" s="11" t="str">
        <x:v>Same-key replay tek olay; current access+original action grant kontrolü. Kayıp cevap sonrası403/422 uncertain key silinmez.</x:v>
      </x:c>
      <x:c r="E20" s="12" t="str">
        <x:v>Bekliyor</x:v>
      </x:c>
      <x:c r="F20" s="12" t="str">
        <x:v>Bekliyor</x:v>
      </x:c>
      <x:c r="G20" s="12" t="str">
        <x:v>Bekliyor</x:v>
      </x:c>
      <x:c r="H20" s="12" t="str"/>
      <x:c r="I20" s="11" t="str">
        <x:f>IF(AND(E20="Onaylandı",F20="Kanıt eklendi",G20="Onaylandı",H20&lt;&gt;"",J20="RUN / PASS"),"Tamam","Açık")</x:f>
        <x:v>Açık</x:v>
      </x:c>
      <x:c r="J20" s="12" t="str">
        <x:v>PLANNED / NOT_RUN</x:v>
      </x:c>
      <x:c r="K20" s="11" t="str">
        <x:v>HT01 H08</x:v>
      </x:c>
    </x:row>
    <x:row r="21" ht="40.5" customHeight="1">
      <x:c r="A21" s="11" t="str">
        <x:v>HSE-AT16</x:v>
      </x:c>
      <x:c r="B21" s="11" t="str">
        <x:v>HSE-G05</x:v>
      </x:c>
      <x:c r="C21" s="11" t="str">
        <x:v>Görev ayrılığı</x:v>
      </x:c>
      <x:c r="D21" s="11" t="str">
        <x:v>Risk review/accept/issue/measurement/isolation capabilities ayrı; self-approval/vekalet profili onaylı. AI/admin imza yerine geçmez.</x:v>
      </x:c>
      <x:c r="E21" s="12" t="str">
        <x:v>Bekliyor</x:v>
      </x:c>
      <x:c r="F21" s="12" t="str">
        <x:v>Bekliyor</x:v>
      </x:c>
      <x:c r="G21" s="12" t="str">
        <x:v>Bekliyor</x:v>
      </x:c>
      <x:c r="H21" s="12" t="str"/>
      <x:c r="I21" s="11" t="str">
        <x:f>IF(AND(E21="Onaylandı",F21="Kanıt eklendi",G21="Onaylandı",H21&lt;&gt;"",J21="RUN / PASS"),"Tamam","Açık")</x:f>
        <x:v>Açık</x:v>
      </x:c>
      <x:c r="J21" s="12" t="str">
        <x:v>PLANNED / NOT_RUN</x:v>
      </x:c>
      <x:c r="K21" s="11" t="str">
        <x:v>H14, HT01 H09</x:v>
      </x:c>
    </x:row>
    <x:row r="22" ht="36" customHeight="1">
      <x:c r="A22" s="11" t="str">
        <x:v>HSE-AT17</x:v>
      </x:c>
      <x:c r="B22" s="11" t="str">
        <x:v>HSE-G04</x:v>
      </x:c>
      <x:c r="C22" s="11" t="str">
        <x:v>Süre sonu ve uzatma</x:v>
      </x:c>
      <x:c r="D22" s="11" t="str">
        <x:v>Expired izin activate edilemez. E-posta okunmasa bile geçerlilik biter. Timer otomatik uzatmaz.</x:v>
      </x:c>
      <x:c r="E22" s="12" t="str">
        <x:v>Bekliyor</x:v>
      </x:c>
      <x:c r="F22" s="12" t="str">
        <x:v>Bekliyor</x:v>
      </x:c>
      <x:c r="G22" s="12" t="str">
        <x:v>Bekliyor</x:v>
      </x:c>
      <x:c r="H22" s="12" t="str"/>
      <x:c r="I22" s="11" t="str">
        <x:f>IF(AND(E22="Onaylandı",F22="Kanıt eklendi",G22="Onaylandı",H22&lt;&gt;"",J22="RUN / PASS"),"Tamam","Açık")</x:f>
        <x:v>Açık</x:v>
      </x:c>
      <x:c r="J22" s="12" t="str">
        <x:v>PLANNED / NOT_RUN</x:v>
      </x:c>
      <x:c r="K22" s="11" t="str">
        <x:v>H1, H14</x:v>
      </x:c>
    </x:row>
    <x:row r="23" ht="40.5" customHeight="1">
      <x:c r="A23" s="11" t="str">
        <x:v>HSE-AT18</x:v>
      </x:c>
      <x:c r="B23" s="11" t="str">
        <x:v>HSE-G04</x:v>
      </x:c>
      <x:c r="C23" s="11" t="str">
        <x:v>Askı ve yeniden yetki</x:v>
      </x:c>
      <x:c r="D23" s="11" t="str">
        <x:v>Resume gerekli yeniden kontroller+güncel RA/kanıt+yetkili insan onayı ister. Profil yeni izin diyorsa resume reddedilir.</x:v>
      </x:c>
      <x:c r="E23" s="12" t="str">
        <x:v>Bekliyor</x:v>
      </x:c>
      <x:c r="F23" s="12" t="str">
        <x:v>Bekliyor</x:v>
      </x:c>
      <x:c r="G23" s="12" t="str">
        <x:v>Bekliyor</x:v>
      </x:c>
      <x:c r="H23" s="12" t="str"/>
      <x:c r="I23" s="11" t="str">
        <x:f>IF(AND(E23="Onaylandı",F23="Kanıt eklendi",G23="Onaylandı",H23&lt;&gt;"",J23="RUN / PASS"),"Tamam","Açık")</x:f>
        <x:v>Açık</x:v>
      </x:c>
      <x:c r="J23" s="12" t="str">
        <x:v>PLANNED / NOT_RUN</x:v>
      </x:c>
      <x:c r="K23" s="11" t="str">
        <x:v>H1, H14, HR01</x:v>
      </x:c>
    </x:row>
    <x:row r="24" ht="36" customHeight="1">
      <x:c r="A24" s="11" t="str">
        <x:v>HSE-AT19</x:v>
      </x:c>
      <x:c r="B24" s="11" t="str">
        <x:v>HSE-G04</x:v>
      </x:c>
      <x:c r="C24" s="11" t="str">
        <x:v>Teslim ve kapanış</x:v>
      </x:c>
      <x:c r="D24" s="11" t="str">
        <x:v>Handback/close ayrı; close izolasyon release veya ekipman hizmete alma komutu çalıştırmaz.</x:v>
      </x:c>
      <x:c r="E24" s="12" t="str">
        <x:v>Bekliyor</x:v>
      </x:c>
      <x:c r="F24" s="12" t="str">
        <x:v>Bekliyor</x:v>
      </x:c>
      <x:c r="G24" s="12" t="str">
        <x:v>Bekliyor</x:v>
      </x:c>
      <x:c r="H24" s="12" t="str"/>
      <x:c r="I24" s="11" t="str">
        <x:f>IF(AND(E24="Onaylandı",F24="Kanıt eklendi",G24="Onaylandı",H24&lt;&gt;"",J24="RUN / PASS"),"Tamam","Açık")</x:f>
        <x:v>Açık</x:v>
      </x:c>
      <x:c r="J24" s="12" t="str">
        <x:v>PLANNED / NOT_RUN</x:v>
      </x:c>
      <x:c r="K24" s="11" t="str">
        <x:v>H14, HT01 H10</x:v>
      </x:c>
    </x:row>
    <x:row r="25" ht="40.5" customHeight="1">
      <x:c r="A25" s="11" t="str">
        <x:v>HSE-AT20</x:v>
      </x:c>
      <x:c r="B25" s="11" t="str">
        <x:v>HSE-G06</x:v>
      </x:c>
      <x:c r="C25" s="11" t="str">
        <x:v>Kanıt karantinası</x:v>
      </x:c>
      <x:c r="D25" s="11" t="str">
        <x:v>Quarantined belge linki, preview ve önkoşul kullanımı engelli; upload tamam diye kontrol doğrulanmış olmaz.</x:v>
      </x:c>
      <x:c r="E25" s="12" t="str">
        <x:v>Bekliyor</x:v>
      </x:c>
      <x:c r="F25" s="12" t="str">
        <x:v>Bekliyor</x:v>
      </x:c>
      <x:c r="G25" s="12" t="str">
        <x:v>Bekliyor</x:v>
      </x:c>
      <x:c r="H25" s="12" t="str"/>
      <x:c r="I25" s="11" t="str">
        <x:f>IF(AND(E25="Onaylandı",F25="Kanıt eklendi",G25="Onaylandı",H25&lt;&gt;"",J25="RUN / PASS"),"Tamam","Açık")</x:f>
        <x:v>Açık</x:v>
      </x:c>
      <x:c r="J25" s="12" t="str">
        <x:v>PLANNED / NOT_RUN</x:v>
      </x:c>
      <x:c r="K25" s="11" t="str">
        <x:v>HT01 H11, HR01</x:v>
      </x:c>
    </x:row>
    <x:row r="26" ht="40.5" customHeight="1">
      <x:c r="A26" s="11" t="str">
        <x:v>HSE-AT21</x:v>
      </x:c>
      <x:c r="B26" s="11" t="str">
        <x:v>HSE-G06</x:v>
      </x:c>
      <x:c r="C26" s="11" t="str">
        <x:v>Mahremiyet / imza</x:v>
      </x:c>
      <x:c r="D26" s="11" t="str">
        <x:v>Safe-history klinik sağlık verisi taşımaz. Asgari yetkinlik teyidi; imza/vekalet/saklama/hold hukuk politikası ayrı.</x:v>
      </x:c>
      <x:c r="E26" s="12" t="str">
        <x:v>Bekliyor</x:v>
      </x:c>
      <x:c r="F26" s="12" t="str">
        <x:v>Bekliyor</x:v>
      </x:c>
      <x:c r="G26" s="12" t="str">
        <x:v>Bekliyor</x:v>
      </x:c>
      <x:c r="H26" s="12" t="str"/>
      <x:c r="I26" s="11" t="str">
        <x:f>IF(AND(E26="Onaylandı",F26="Kanıt eklendi",G26="Onaylandı",H26&lt;&gt;"",J26="RUN / PASS"),"Tamam","Açık")</x:f>
        <x:v>Açık</x:v>
      </x:c>
      <x:c r="J26" s="12" t="str">
        <x:v>PLANNED / NOT_RUN</x:v>
      </x:c>
      <x:c r="K26" s="11" t="str">
        <x:v>H11, HT01</x:v>
      </x:c>
    </x:row>
    <x:row r="27" ht="40.5" customHeight="1">
      <x:c r="A27" s="11" t="str">
        <x:v>HSE-AT22</x:v>
      </x:c>
      <x:c r="B27" s="11" t="str">
        <x:v>HSE-G07</x:v>
      </x:c>
      <x:c r="C27" s="11" t="str">
        <x:v>HSE-C02 stale aktif cache</x:v>
      </x:c>
      <x:c r="D27" s="11" t="str">
        <x:v>Önceden ACTIVE/ISSUED cache güncellik/saat/yetki belirsizse current VALID gösteremez; yalnız yeni unsynced kayıtları engellemek yetmez.</x:v>
      </x:c>
      <x:c r="E27" s="12" t="str">
        <x:v>Bekliyor</x:v>
      </x:c>
      <x:c r="F27" s="12" t="str">
        <x:v>Bekliyor</x:v>
      </x:c>
      <x:c r="G27" s="12" t="str">
        <x:v>Bekliyor</x:v>
      </x:c>
      <x:c r="H27" s="12" t="str"/>
      <x:c r="I27" s="11" t="str">
        <x:f>IF(AND(E27="Onaylandı",F27="Kanıt eklendi",G27="Onaylandı",H27&lt;&gt;"",J27="RUN / PASS"),"Tamam","Açık")</x:f>
        <x:v>Açık</x:v>
      </x:c>
      <x:c r="J27" s="12" t="str">
        <x:v>PLANNED / NOT_RUN</x:v>
      </x:c>
      <x:c r="K27" s="11" t="str">
        <x:v>HR01</x:v>
      </x:c>
    </x:row>
    <x:row r="28" ht="40.5" customHeight="1">
      <x:c r="A28" s="11" t="str">
        <x:v>HSE-AT23</x:v>
      </x:c>
      <x:c r="B28" s="11" t="str">
        <x:v>HSE-G07</x:v>
      </x:c>
      <x:c r="C28" s="11" t="str">
        <x:v>Reconnect uzlaştırma</x:v>
      </x:c>
      <x:c r="D28" s="11" t="str">
        <x:v>Revision/conflict/authority/time yeniden kontrol; otomatik issue/resume/extension yok; son-yazan-kazan yok.</x:v>
      </x:c>
      <x:c r="E28" s="12" t="str">
        <x:v>Bekliyor</x:v>
      </x:c>
      <x:c r="F28" s="12" t="str">
        <x:v>Bekliyor</x:v>
      </x:c>
      <x:c r="G28" s="12" t="str">
        <x:v>Bekliyor</x:v>
      </x:c>
      <x:c r="H28" s="12" t="str"/>
      <x:c r="I28" s="11" t="str">
        <x:f>IF(AND(E28="Onaylandı",F28="Kanıt eklendi",G28="Onaylandı",H28&lt;&gt;"",J28="RUN / PASS"),"Tamam","Açık")</x:f>
        <x:v>Açık</x:v>
      </x:c>
      <x:c r="J28" s="12" t="str">
        <x:v>PLANNED / NOT_RUN</x:v>
      </x:c>
      <x:c r="K28" s="11" t="str">
        <x:v>HR01, HT01</x:v>
      </x:c>
    </x:row>
    <x:row r="29" ht="40.5" customHeight="1">
      <x:c r="A29" s="11" t="str">
        <x:v>HSE-AT24</x:v>
      </x:c>
      <x:c r="B29" s="11" t="str">
        <x:v>HSE-G07</x:v>
      </x:c>
      <x:c r="C29" s="11" t="str">
        <x:v>Yerel devamlılık</x:v>
      </x:c>
      <x:c r="D29" s="11" t="str">
        <x:v>Onaylı kâğıt/yerel prosedür kayıt bağı ayrı yönetişimdir; internet yok diye uygulama güvenlik kapısı atlanmaz.</x:v>
      </x:c>
      <x:c r="E29" s="12" t="str">
        <x:v>Bekliyor</x:v>
      </x:c>
      <x:c r="F29" s="12" t="str">
        <x:v>Bekliyor</x:v>
      </x:c>
      <x:c r="G29" s="12" t="str">
        <x:v>Bekliyor</x:v>
      </x:c>
      <x:c r="H29" s="12" t="str"/>
      <x:c r="I29" s="11" t="str">
        <x:f>IF(AND(E29="Onaylandı",F29="Kanıt eklendi",G29="Onaylandı",H29&lt;&gt;"",J29="RUN / PASS"),"Tamam","Açık")</x:f>
        <x:v>Açık</x:v>
      </x:c>
      <x:c r="J29" s="12" t="str">
        <x:v>PLANNED / NOT_RUN</x:v>
      </x:c>
      <x:c r="K29" s="11" t="str">
        <x:v>HR01</x:v>
      </x:c>
    </x:row>
    <x:row r="30" ht="40.5" customHeight="1">
      <x:c r="A30" s="11" t="str">
        <x:v>HSE-AT25</x:v>
      </x:c>
      <x:c r="B30" s="11" t="str">
        <x:v>HSE-G08</x:v>
      </x:c>
      <x:c r="C30" s="11" t="str">
        <x:v>TR/EN ve erişilebilirlik</x:v>
      </x:c>
      <x:c r="D30" s="11" t="str">
        <x:v>Aynı record ID/anlam; Tab/ok/Enter/Escape, label/error focus, ekran okuyucu, mobil keyboard ve uzun tekrarlı satırlar.</x:v>
      </x:c>
      <x:c r="E30" s="12" t="str">
        <x:v>Bekliyor</x:v>
      </x:c>
      <x:c r="F30" s="12" t="str">
        <x:v>Bekliyor</x:v>
      </x:c>
      <x:c r="G30" s="12" t="str">
        <x:v>Bekliyor</x:v>
      </x:c>
      <x:c r="H30" s="12" t="str"/>
      <x:c r="I30" s="11" t="str">
        <x:f>IF(AND(E30="Onaylandı",F30="Kanıt eklendi",G30="Onaylandı",H30&lt;&gt;"",J30="RUN / PASS"),"Tamam","Açık")</x:f>
        <x:v>Açık</x:v>
      </x:c>
      <x:c r="J30" s="12" t="str">
        <x:v>PLANNED / NOT_RUN</x:v>
      </x:c>
      <x:c r="K30" s="11" t="str">
        <x:v>HT01 H02</x:v>
      </x:c>
    </x:row>
    <x:row r="31" ht="40.5" customHeight="1">
      <x:c r="A31" s="11" t="str">
        <x:v>HSE-AT26</x:v>
      </x:c>
      <x:c r="B31" s="11" t="str">
        <x:v>HSE-G01</x:v>
      </x:c>
      <x:c r="C31" s="11" t="str">
        <x:v>Hukuki atıf ayrımı</x:v>
      </x:c>
      <x:c r="D31" s="11" t="str">
        <x:v>Statutory/flag/SMS/recommendation ayrılır. TR MLC onayı veya2025MLC güncel hukuk diye sunulmaz;6331 gemiye özgü hukuk incelemesi açık.</x:v>
      </x:c>
      <x:c r="E31" s="12" t="str">
        <x:v>Bekliyor</x:v>
      </x:c>
      <x:c r="F31" s="12" t="str">
        <x:v>Bekliyor</x:v>
      </x:c>
      <x:c r="G31" s="12" t="str">
        <x:v>Bekliyor</x:v>
      </x:c>
      <x:c r="H31" s="12" t="str"/>
      <x:c r="I31" s="11" t="str">
        <x:f>IF(AND(E31="Onaylandı",F31="Kanıt eklendi",G31="Onaylandı",H31&lt;&gt;"",J31="RUN / PASS"),"Tamam","Açık")</x:f>
        <x:v>Açık</x:v>
      </x:c>
      <x:c r="J31" s="12" t="str">
        <x:v>PLANNED / NOT_RUN</x:v>
      </x:c>
      <x:c r="K31" s="11" t="str">
        <x:v>H5–H11</x:v>
      </x:c>
    </x:row>
    <x:row r="32" ht="40.5" customHeight="1">
      <x:c r="A32" s="11" t="str">
        <x:v>HSE-AT27</x:v>
      </x:c>
      <x:c r="B32" s="11" t="str">
        <x:v>HSE-G08</x:v>
      </x:c>
      <x:c r="C32" s="11" t="str">
        <x:v>P0 ve kapsamlı yayın</x:v>
      </x:c>
      <x:c r="D32" s="11" t="str">
        <x:v>Yeni aile eklenebilir ama etkin aile emniyet önkoşulları P1/P2 sonrasına ertelenmez. Kullanıcı UAT ve yetkili release ayrı.</x:v>
      </x:c>
      <x:c r="E32" s="12" t="str">
        <x:v>Bekliyor</x:v>
      </x:c>
      <x:c r="F32" s="12" t="str">
        <x:v>Bekliyor</x:v>
      </x:c>
      <x:c r="G32" s="12" t="str">
        <x:v>Bekliyor</x:v>
      </x:c>
      <x:c r="H32" s="12" t="str"/>
      <x:c r="I32" s="11" t="str">
        <x:f>IF(AND(E32="Onaylandı",F32="Kanıt eklendi",G32="Onaylandı",H32&lt;&gt;"",J32="RUN / PASS"),"Tamam","Açık")</x:f>
        <x:v>Açık</x:v>
      </x:c>
      <x:c r="J32" s="12" t="str">
        <x:v>PLANNED / NOT_RUN</x:v>
      </x:c>
      <x:c r="K32" s="11" t="str">
        <x:v>HR01 HSE-P2-01</x:v>
      </x:c>
    </x:row>
    <x:row r="33" ht="40.5" customHeight="1">
      <x:c r="A33" s="11" t="str">
        <x:v>HSE-AT28</x:v>
      </x:c>
      <x:c r="B33" s="11" t="str">
        <x:v>HSE-G08</x:v>
      </x:c>
      <x:c r="C33" s="11" t="str">
        <x:v>Kaynak / uygulama sınırı</x:v>
      </x:c>
      <x:c r="D33" s="11" t="str">
        <x:v>151 baseline dosyası unchanged; statik capture checker PASS ≠ API/DB/UX/device/UAT PASS. Operasyonel izin veya güvenlik garantisi yok.</x:v>
      </x:c>
      <x:c r="E33" s="12" t="str">
        <x:v>Bekliyor</x:v>
      </x:c>
      <x:c r="F33" s="12" t="str">
        <x:v>Bekliyor</x:v>
      </x:c>
      <x:c r="G33" s="12" t="str">
        <x:v>Bekliyor</x:v>
      </x:c>
      <x:c r="H33" s="12" t="str"/>
      <x:c r="I33" s="11" t="str">
        <x:f>IF(AND(E33="Onaylandı",F33="Kanıt eklendi",G33="Onaylandı",H33&lt;&gt;"",J33="RUN / PASS"),"Tamam","Açık")</x:f>
        <x:v>Açık</x:v>
      </x:c>
      <x:c r="J33" s="12" t="str">
        <x:v>PLANNED / NOT_RUN</x:v>
      </x:c>
      <x:c r="K33" s="11" t="str">
        <x:v>HT01, HR01</x:v>
      </x:c>
    </x:row>
    <x:row r="34" ht="40.5" customHeight="1">
      <x:c r="A34" s="11" t="str">
        <x:v>HSE-AT29</x:v>
      </x:c>
      <x:c r="B34" s="11" t="str">
        <x:v>HSE-G04</x:v>
      </x:c>
      <x:c r="C34" s="11" t="str">
        <x:v>Kritik olmayan edit</x:v>
      </x:c>
      <x:c r="D34" s="11" t="str">
        <x:v>Non-material kararının profile/qualified authority dayanağı görünür; otomatik eski onay kopyalama yok.</x:v>
      </x:c>
      <x:c r="E34" s="12" t="str">
        <x:v>Bekliyor</x:v>
      </x:c>
      <x:c r="F34" s="12" t="str">
        <x:v>Bekliyor</x:v>
      </x:c>
      <x:c r="G34" s="12" t="str">
        <x:v>Bekliyor</x:v>
      </x:c>
      <x:c r="H34" s="12" t="str"/>
      <x:c r="I34" s="11" t="str">
        <x:f>IF(AND(E34="Onaylandı",F34="Kanıt eklendi",G34="Onaylandı",H34&lt;&gt;"",J34="RUN / PASS"),"Tamam","Açık")</x:f>
        <x:v>Açık</x:v>
      </x:c>
      <x:c r="J34" s="12" t="str">
        <x:v>PLANNED / NOT_RUN</x:v>
      </x:c>
      <x:c r="K34" s="11" t="str">
        <x:v>HR01</x:v>
      </x:c>
    </x:row>
    <x:row r="35" ht="40.5" customHeight="1">
      <x:c r="A35" s="11" t="str">
        <x:v>HSE-AT30</x:v>
      </x:c>
      <x:c r="B35" s="11" t="str">
        <x:v>HSE-G08</x:v>
      </x:c>
      <x:c r="C35" s="11" t="str">
        <x:v>Acil erişim</x:v>
      </x:c>
      <x:c r="D35" s="11" t="str">
        <x:v>Acil plan bağlantısı form tamamlama bekletmez; yazılım kurtarma operasyon talimatı/kapalı alana giriş yetkisi üretmez.</x:v>
      </x:c>
      <x:c r="E35" s="12" t="str">
        <x:v>Bekliyor</x:v>
      </x:c>
      <x:c r="F35" s="12" t="str">
        <x:v>Bekliyor</x:v>
      </x:c>
      <x:c r="G35" s="12" t="str">
        <x:v>Bekliyor</x:v>
      </x:c>
      <x:c r="H35" s="12" t="str"/>
      <x:c r="I35" s="11" t="str">
        <x:f>IF(AND(E35="Onaylandı",F35="Kanıt eklendi",G35="Onaylandı",H35&lt;&gt;"",J35="RUN / PASS"),"Tamam","Açık")</x:f>
        <x:v>Açık</x:v>
      </x:c>
      <x:c r="J35" s="12" t="str">
        <x:v>PLANNED / NOT_RUN</x:v>
      </x:c>
      <x:c r="K35" s="11" t="str">
        <x:v>H1, HR01</x:v>
      </x:c>
    </x:row>
  </x:sheetData>
  <x:conditionalFormatting sqref="I6:I35">
    <x:cfRule type="containsText" dxfId="0" priority="1" operator="containsText" text="Açık"/>
  </x:conditionalFormatting>
  <x:dataValidations count="4">
    <x:dataValidation type="list" sqref="E6:E35">
      <x:formula1>"Bekliyor,Onaylandı,Reddedildi"</x:formula1>
    </x:dataValidation>
    <x:dataValidation type="list" sqref="G6:G35">
      <x:formula1>"Bekliyor,Onaylandı,Reddedildi"</x:formula1>
    </x:dataValidation>
    <x:dataValidation type="list" sqref="F6:F35">
      <x:formula1>"Bekliyor,Kanıt eklendi"</x:formula1>
    </x:dataValidation>
    <x:dataValidation type="list" sqref="J6:J35">
      <x:formula1>"PLANNED / NOT_RUN,RUN / PASS,RUN / 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015c03b7dc444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27" hidden="0" customWidth="1"/>
    <x:col min="4" max="4" width="11.5" hidden="0" customWidth="1"/>
    <x:col min="5" max="5" width="68" hidden="0" customWidth="1"/>
    <x:col min="6" max="6" width="56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HSE kaynak ve kanıt sicili</x:v>
      </x:c>
      <x:c r="B2" s="2"/>
      <x:c r="C2" s="2"/>
      <x:c r="D2" s="2"/>
      <x:c r="E2" s="2"/>
      <x:c r="F2" s="2"/>
    </x:row>
    <x:row r="3" ht="23" customHeight="1">
      <x:c r="A3" s="4"/>
      <x:c r="B3" s="4"/>
      <x:c r="C3" s="4"/>
      <x:c r="D3" s="4"/>
      <x:c r="E3" s="4"/>
      <x:c r="F3" s="4"/>
    </x:row>
    <x:row r="4" ht="23" customHeight="1">
      <x:c r="A4" s="5" t="str">
        <x:v>Tüm erişimler29.10.2026 araştırma kayıtlarından. Teknik/hukuki kabul ve çalışan ürün kanıtları birbirinden ayrıdır.</x:v>
      </x:c>
      <x:c r="B4" s="2"/>
      <x:c r="C4" s="2"/>
      <x:c r="D4" s="2"/>
      <x:c r="E4" s="2"/>
      <x:c r="F4" s="2"/>
    </x:row>
    <x:row r="5" ht="31.5" customHeight="1">
      <x:c r="A5" s="10" t="str">
        <x:v>Kaynak ID</x:v>
      </x:c>
      <x:c r="B5" s="10" t="str">
        <x:v>Kaynak / başlık</x:v>
      </x:c>
      <x:c r="C5" s="10" t="str">
        <x:v>Kanıt türü</x:v>
      </x:c>
      <x:c r="D5" s="10" t="str">
        <x:v>Erişim tarihi</x:v>
      </x:c>
      <x:c r="E5" s="10" t="str">
        <x:v>URL / ek kimliği</x:v>
      </x:c>
      <x:c r="F5" s="10" t="str">
        <x:v>Kapsam / doğrulama sınırı</x:v>
      </x:c>
    </x:row>
    <x:row r="6" ht="40.5" customHeight="1">
      <x:c r="A6" s="11" t="str">
        <x:v>H1</x:v>
      </x:c>
      <x:c r="B6" s="11" t="str">
        <x:v>IMO MSC.581(110), §5, Ek 2</x:v>
      </x:c>
      <x:c r="C6" s="11" t="str">
        <x:v>Resmi tavsiye / iyi uygulama</x:v>
      </x:c>
      <x:c r="D6" s="13" t="n">
        <x:v>46324</x:v>
      </x:c>
      <x:c r="E6" s="11" t="str">
        <x:v>https://wwwcdn.imo.org/localresources/en/KnowledgeCentre/IndexofIMOResolutions/MSCResolutions/MSC.581%28110%29.pdf</x:v>
      </x:c>
      <x:c r="F6" s="11" t="str">
        <x:v>IMO tavsiyesi; SOLAS yükümlülükleri ayrı.8 saat bağlamı evrensel süre değil.</x:v>
      </x:c>
    </x:row>
    <x:row r="7" ht="36" customHeight="1">
      <x:c r="A7" s="11" t="str">
        <x:v>H2</x:v>
      </x:c>
      <x:c r="B7" s="11" t="str">
        <x:v>IMO ISM açıklaması</x:v>
      </x:c>
      <x:c r="C7" s="11" t="str">
        <x:v>Resmi kaynak / kapsam incelemesi</x:v>
      </x:c>
      <x:c r="D7" s="13" t="n">
        <x:v>46324</x:v>
      </x:c>
      <x:c r="E7" s="11" t="str">
        <x:v>https://www.imo.org/en/ourwork/humanelement/pages/ismcode.aspx</x:v>
      </x:c>
      <x:c r="F7" s="11" t="str">
        <x:v>ISM genel amaç; her gemiye otomatik kapsam değil.</x:v>
      </x:c>
    </x:row>
    <x:row r="8" ht="36" customHeight="1">
      <x:c r="A8" s="11" t="str">
        <x:v>H3</x:v>
      </x:c>
      <x:c r="B8" s="11" t="str">
        <x:v>Transport Canada ISM kapsamı</x:v>
      </x:c>
      <x:c r="C8" s="11" t="str">
        <x:v>Resmi kaynak / kapsam incelemesi</x:v>
      </x:c>
      <x:c r="D8" s="13" t="n">
        <x:v>46324</x:v>
      </x:c>
      <x:c r="E8" s="11" t="str">
        <x:v>https://tc.canada.ca/en/marine-transportation/marine-safety/international-safety-management-ism-code</x:v>
      </x:c>
      <x:c r="F8" s="11" t="str">
        <x:v>Ulusal otorite kapsam özeti. TR uygulaması ayrı.</x:v>
      </x:c>
    </x:row>
    <x:row r="9" ht="36" customHeight="1">
      <x:c r="A9" s="11" t="str">
        <x:v>H4</x:v>
      </x:c>
      <x:c r="B9" s="11" t="str">
        <x:v>Hong Kong Marine Department 68/2025, 02.12.2025</x:v>
      </x:c>
      <x:c r="C9" s="11" t="str">
        <x:v>Resmi kaynak / kapsam incelemesi</x:v>
      </x:c>
      <x:c r="D9" s="13" t="n">
        <x:v>46324</x:v>
      </x:c>
      <x:c r="E9" s="11" t="str">
        <x:v>https://www.mardep.gov.hk/filemanager/en/share/msnote/pdf/msin2568.pdf</x:v>
      </x:c>
      <x:c r="F9" s="11" t="str">
        <x:v>HK duyurusu; evrensel bağlayıcılık tarihi türetilmez.</x:v>
      </x:c>
    </x:row>
    <x:row r="10" ht="40.5" customHeight="1">
      <x:c r="A10" s="11" t="str">
        <x:v>H5</x:v>
      </x:c>
      <x:c r="B10" s="11" t="str">
        <x:v>ILO NORMLEX, Türkiye'nin onaylamadığı sözleşmeler</x:v>
      </x:c>
      <x:c r="C10" s="11" t="str">
        <x:v>Resmi kaynak / kapsam incelemesi</x:v>
      </x:c>
      <x:c r="D10" s="13" t="n">
        <x:v>46324</x:v>
      </x:c>
      <x:c r="E10" s="11" t="str">
        <x:v>https://wwwex.ilo.org/dyn/f?p=NORMLEXPUB%3A11210%3A0%3A%3ANO%3A%3AP11210_COUNTRY_ID%3A102893</x:v>
      </x:c>
      <x:c r="F10" s="11" t="str">
        <x:v>NORMLEX indeksli kaynakta Türkiye MLC onaylamayanlar listesinde; direkt erişim redirect loop.</x:v>
      </x:c>
    </x:row>
    <x:row r="11" ht="36" customHeight="1">
      <x:c r="A11" s="11" t="str">
        <x:v>H6</x:v>
      </x:c>
      <x:c r="B11" s="11" t="str">
        <x:v>ILO MLC A4.3</x:v>
      </x:c>
      <x:c r="C11" s="11" t="str">
        <x:v>Resmi kaynak / kapsam incelemesi</x:v>
      </x:c>
      <x:c r="D11" s="13" t="n">
        <x:v>46324</x:v>
      </x:c>
      <x:c r="E11" s="11" t="str">
        <x:v>https://www.ilo.org/dyn/normlex/en/f?p=NORMLEXPUB%3A91%3A0%3A%3A%3A%3AP91_SECTION%3AMLCA_AMEND_A4</x:v>
      </x:c>
      <x:c r="F11" s="11" t="str">
        <x:v>MLC A4.3; bayrak ve gemi kapsamı ayrıca.</x:v>
      </x:c>
    </x:row>
    <x:row r="12" ht="112.5" customHeight="1">
      <x:c r="A12" s="11" t="str">
        <x:v>H7</x:v>
      </x:c>
      <x:c r="B12" s="11" t="str">
        <x:v>ILO MLC metni / Article II ve sertifikalandırma</x:v>
      </x:c>
      <x:c r="C12" s="11" t="str">
        <x:v>Resmi kaynak / kapsam incelemesi</x:v>
      </x:c>
      <x:c r="D12" s="13" t="n">
        <x:v>46324</x:v>
      </x:c>
      <x:c r="E12" s="11" t="str">
        <x:v>https://normlex.ilo.org/dyn/nrmlx_en/f?p=NORMLEXPUB%3A12100%3A0%3A%3ANO%3A%3AP12100_ILO_CODE%3AMLC ; https://wwwex.ilo.org/dyn/f?p=NORMLEXPUB%3A92%3A0%3A%3ANO%3A%3AP92_SECTION%3AMLC_A5 ; bayrak otoritesi uygulama açıklaması: https://normlex.ilo.org/dyn/nrmlx_en/f?p=1000%3A53%3A%3A%3A%3A53%3AP53_FILE_ID%3A3280257</x:v>
      </x:c>
      <x:c r="F12" s="11" t="str">
        <x:v>Temel gemi kapsamı ile sertifikalandırma eşiği ayrı.</x:v>
      </x:c>
    </x:row>
    <x:row r="13" ht="36" customHeight="1">
      <x:c r="A13" s="11" t="str">
        <x:v>H8</x:v>
      </x:c>
      <x:c r="B13" s="11" t="str">
        <x:v>ILO MLC 2025 değişikliklerinin durumu</x:v>
      </x:c>
      <x:c r="C13" s="11" t="str">
        <x:v>Resmi kaynak / kapsam incelemesi</x:v>
      </x:c>
      <x:c r="D13" s="13" t="n">
        <x:v>46324</x:v>
      </x:c>
      <x:c r="E13" s="11" t="str">
        <x:v>https://wwwex.ilo.org/dyn/f?p=NORMLEXPUB%3A11301%3A0%3A%3ANO%3A%3AP11301_INSTRUMENT_AMENDMENT_ID%3A4438362</x:v>
      </x:c>
      <x:c r="F13" s="11" t="str">
        <x:v>2025 değişiklikleri güncel yürürlükte değil; beklenen23.12.2027.</x:v>
      </x:c>
    </x:row>
    <x:row r="14" ht="40.5" customHeight="1">
      <x:c r="A14" s="11" t="str">
        <x:v>H9</x:v>
      </x:c>
      <x:c r="B14" s="11" t="str">
        <x:v>ÇSGB 6331 resmi metni, özellikle madde 2–4/10</x:v>
      </x:c>
      <x:c r="C14" s="11" t="str">
        <x:v>Resmi kaynak / kapsam incelemesi</x:v>
      </x:c>
      <x:c r="D14" s="13" t="n">
        <x:v>46324</x:v>
      </x:c>
      <x:c r="E14" s="11" t="str">
        <x:v>https://www.csgb.gov.tr/Media/hywpvejh/6331-say%C4%B1l%C4%B1-i%C5%9F-sa%C4%9Fl%C4%B1%C4%9F%C4%B1-ve-g%C3%BCvenli%C4%9Fi-kanunu.pdf</x:v>
      </x:c>
      <x:c r="F14" s="11" t="str">
        <x:v>6331 genel deniz istisnası değil; gemi/işveren/yetki alanı uzman incelemesi açık.</x:v>
      </x:c>
    </x:row>
    <x:row r="15" ht="36" customHeight="1">
      <x:c r="A15" s="11" t="str">
        <x:v>H10</x:v>
      </x:c>
      <x:c r="B15" s="11" t="str">
        <x:v>ÇSGB SSS, risk değerlendirme ekibi, alt işveren, yöntem</x:v>
      </x:c>
      <x:c r="C15" s="11" t="str">
        <x:v>Resmi kaynak / kapsam incelemesi</x:v>
      </x:c>
      <x:c r="D15" s="13" t="n">
        <x:v>46324</x:v>
      </x:c>
      <x:c r="E15" s="11" t="str">
        <x:v>https://csgb.gov.tr/tr/sikca-sorulan-sorular/is-sagligi-ve-guvenligi-genel-mudurlugu/</x:v>
      </x:c>
      <x:c r="F15" s="11" t="str">
        <x:v>Tek zorunlu puanlama yöntemi yok.</x:v>
      </x:c>
    </x:row>
    <x:row r="16" ht="53.25" customHeight="1">
      <x:c r="A16" s="11" t="str">
        <x:v>H11</x:v>
      </x:c>
      <x:c r="B16" s="11" t="str">
        <x:v>Risk Değerlendirmesi Yönetmeliği, resmi kamu yayını</x:v>
      </x:c>
      <x:c r="C16" s="11" t="str">
        <x:v>Resmi kaynak / kapsam incelemesi</x:v>
      </x:c>
      <x:c r="D16" s="13" t="n">
        <x:v>46324</x:v>
      </x:c>
      <x:c r="E16" s="11" t="str">
        <x:v>https://orhanelidh.saglik.gov.tr/TR-537813/is-sagligi-ve-guvenligi-risk-degerlendirmesi-yonetmeligi.html ; resmi kamu PDF kopyası: https://gediz.meb.gov.tr/meb_iys_dosyalar/2023_12/24094624_issagligiveguvenligiriskdegerlendirmesiyonetmeligi.pdf</x:v>
      </x:c>
      <x:c r="F16" s="11" t="str">
        <x:v>Elektronik kayıt, imza yeterliği demek değil.2/4/6 yıl PTW süresi değil; konsolidasyon açık.</x:v>
      </x:c>
    </x:row>
    <x:row r="17" ht="36" customHeight="1">
      <x:c r="A17" s="11" t="str">
        <x:v>H12</x:v>
      </x:c>
      <x:c r="B17" s="11" t="str">
        <x:v>ÇSGB kontrol listesi açıklaması</x:v>
      </x:c>
      <x:c r="C17" s="11" t="str">
        <x:v>Resmi kaynak / kapsam incelemesi</x:v>
      </x:c>
      <x:c r="D17" s="13" t="n">
        <x:v>46324</x:v>
      </x:c>
      <x:c r="E17" s="11" t="str">
        <x:v>https://www.csgb.gov.tr/isggm/yayinlar-ve-afisler/</x:v>
      </x:c>
      <x:c r="F17" s="11" t="str">
        <x:v>Kontrol listesi formal risk değerlendirmesinin yerine geçmez.</x:v>
      </x:c>
    </x:row>
    <x:row r="18" ht="40.5" customHeight="1">
      <x:c r="A18" s="11" t="str">
        <x:v>H13</x:v>
      </x:c>
      <x:c r="B18" s="11" t="str">
        <x:v>MCA güncel COSWP 2026 yayın sayfası</x:v>
      </x:c>
      <x:c r="C18" s="11" t="str">
        <x:v>Resmi kaynak / kapsam incelemesi</x:v>
      </x:c>
      <x:c r="D18" s="13" t="n">
        <x:v>46324</x:v>
      </x:c>
      <x:c r="E18" s="11" t="str">
        <x:v>https://www.gov.uk/government/publications/code-of-safe-working-practices-for-merchant-seafarers-2026-edition</x:v>
      </x:c>
      <x:c r="F18" s="11" t="str">
        <x:v>2026 güncel baskı; UK taşıma yükümlülüğü UK özelinde.</x:v>
      </x:c>
    </x:row>
    <x:row r="19" ht="40.5" customHeight="1">
      <x:c r="A19" s="11" t="str">
        <x:v>H14</x:v>
      </x:c>
      <x:c r="B19" s="11" t="str">
        <x:v>MCA COSWP 2026, Bölüm 14 s.185–187</x:v>
      </x:c>
      <x:c r="C19" s="11" t="str">
        <x:v>Resmi tavsiye / iyi uygulama</x:v>
      </x:c>
      <x:c r="D19" s="13" t="n">
        <x:v>46324</x:v>
      </x:c>
      <x:c r="E19" s="11" t="str">
        <x:v>https://assets.publishing.service.gov.uk/media/69bd45a5ed813d0d8b690c2b/code-of-safe-working-practices-for-merchant-seafarers-2026-edition.pdf</x:v>
      </x:c>
      <x:c r="F19" s="11" t="str">
        <x:v>Bölüm14 s.185–187 doğrudan okundu;24 saat genel tavsiye. Online PDF onboard taşıma uyumu iddiası değil.</x:v>
      </x:c>
    </x:row>
    <x:row r="20" ht="36" customHeight="1">
      <x:c r="A20" s="11" t="str">
        <x:v>HC01</x:v>
      </x:c>
      <x:c r="B20" s="11" t="str">
        <x:v>MariApps PALng</x:v>
      </x:c>
      <x:c r="C20" s="11" t="str">
        <x:v>Resmi satıcı beyanı</x:v>
      </x:c>
      <x:c r="D20" s="13" t="n">
        <x:v>46324</x:v>
      </x:c>
      <x:c r="E20" s="11" t="str">
        <x:v>https://www.mariapps.com/palng/</x:v>
      </x:c>
      <x:c r="F20" s="11" t="str">
        <x:v>B: güncel satıcı beyanı. RA workflows/PTW; ayrıntılı izin/rol/offline test değil.</x:v>
      </x:c>
    </x:row>
    <x:row r="21" ht="36" customHeight="1">
      <x:c r="A21" s="11" t="str">
        <x:v>HC02</x:v>
      </x:c>
      <x:c r="B21" s="11" t="str">
        <x:v>MariApps Safety and Health Day 2023</x:v>
      </x:c>
      <x:c r="C21" s="11" t="str">
        <x:v>Resmi satıcı beyanı</x:v>
      </x:c>
      <x:c r="D21" s="13" t="n">
        <x:v>46324</x:v>
      </x:c>
      <x:c r="E21" s="11" t="str">
        <x:v>https://www.mariapps.com/maritime-safety-health-day/</x:v>
      </x:c>
      <x:c r="F21" s="11" t="str">
        <x:v>B: tarihsel2023 beyanı; RA/PTW/MOC ayrı işlevler.</x:v>
      </x:c>
    </x:row>
    <x:row r="22" ht="36" customHeight="1">
      <x:c r="A22" s="11" t="str">
        <x:v>HC03</x:v>
      </x:c>
      <x:c r="B22" s="11" t="str">
        <x:v>BASS Brochure2023 s.42–43</x:v>
      </x:c>
      <x:c r="C22" s="11" t="str">
        <x:v>Resmi satıcı beyanı</x:v>
      </x:c>
      <x:c r="D22" s="13" t="n">
        <x:v>46324</x:v>
      </x:c>
      <x:c r="E22" s="11" t="str">
        <x:v>https://www.bassnet.no/wp-content/uploads/2024/01/BASS-Brochure-2023-20122023_1.pdf</x:v>
      </x:c>
      <x:c r="F22" s="11" t="str">
        <x:v>B: tarihsel resmi indekslenmiş PDF. Bugünkü lisans/sürüm testi değil.</x:v>
      </x:c>
    </x:row>
    <x:row r="23" ht="36" customHeight="1">
      <x:c r="A23" s="11" t="str">
        <x:v>HC04</x:v>
      </x:c>
      <x:c r="B23" s="11" t="str">
        <x:v>BASSnet2.11 Preview17.11.2020</x:v>
      </x:c>
      <x:c r="C23" s="11" t="str">
        <x:v>Resmi satıcı beyanı</x:v>
      </x:c>
      <x:c r="D23" s="13" t="n">
        <x:v>46324</x:v>
      </x:c>
      <x:c r="E23" s="11" t="str">
        <x:v>https://www.bassnet.no/insight/bassnet-2-11-preview/</x:v>
      </x:c>
      <x:c r="F23" s="11" t="str">
        <x:v>B: RA/PTW/job ve çoklu izin bağı. Bugünkü sürüm iddiası değil.</x:v>
      </x:c>
    </x:row>
    <x:row r="24" ht="36" customHeight="1">
      <x:c r="A24" s="11" t="str">
        <x:v>HC05</x:v>
      </x:c>
      <x:c r="B24" s="11" t="str">
        <x:v>DNV ShipManager QHSE</x:v>
      </x:c>
      <x:c r="C24" s="11" t="str">
        <x:v>Resmi satıcı beyanı</x:v>
      </x:c>
      <x:c r="D24" s="13" t="n">
        <x:v>46324</x:v>
      </x:c>
      <x:c r="E24" s="11" t="str">
        <x:v>https://www.dnv.com/services/ship-safety-management-system-shipmanager-qhse-1534/</x:v>
      </x:c>
      <x:c r="F24" s="11" t="str">
        <x:v>B: güncel genel QHSE beyanı. Ayrıntılı PTW davranışı doğrulanmadı.</x:v>
      </x:c>
    </x:row>
    <x:row r="25" ht="40.5" customHeight="1">
      <x:c r="A25" s="11" t="str">
        <x:v>HC06</x:v>
      </x:c>
      <x:c r="B25" s="11" t="str">
        <x:v>DNV GL ShipManager brochure s.16</x:v>
      </x:c>
      <x:c r="C25" s="11" t="str">
        <x:v>Resmi satıcı beyanı</x:v>
      </x:c>
      <x:c r="D25" s="13" t="n">
        <x:v>46324</x:v>
      </x:c>
      <x:c r="E25" s="11" t="str">
        <x:v>https://www.dnv.com/siteassets/images/pdf-documents/maritime-software---shipmanager---navigator---brochure.pdf</x:v>
      </x:c>
      <x:c r="F25" s="11" t="str">
        <x:v>B: eski marka/tarihsel resmi broşür. Güncel kapsam/uygunluk testi değil.</x:v>
      </x:c>
    </x:row>
    <x:row r="26" ht="40.5" customHeight="1">
      <x:c r="A26" s="11" t="str">
        <x:v>HT01</x:v>
      </x:c>
      <x:c r="B26" s="11" t="str">
        <x:v>HSE gap-analysis source package / dd504631</x:v>
      </x:c>
      <x:c r="C26" s="11" t="str">
        <x:v>Yerel kaynak çıkarımı</x:v>
      </x:c>
      <x:c r="D26" s="13" t="n">
        <x:v>46324</x:v>
      </x:c>
      <x:c r="E26" s="11" t="str">
        <x:v>Paket eki: Poseidon-HSE-PTW-RA-gap-analysis-2026-10-29.zip</x:v>
      </x:c>
      <x:c r="F26" s="11" t="str">
        <x:v>46 alan:20/14/12;8 referans.151 source unchanged. Statik kaynak checker sonucu, runtime/UAT değil.</x:v>
      </x:c>
    </x:row>
    <x:row r="27" ht="40.5" customHeight="1">
      <x:c r="A27" s="11" t="str">
        <x:v>HR01</x:v>
      </x:c>
      <x:c r="B27" s="11" t="str">
        <x:v>Bağımsız HSE içerik incelemesi</x:v>
      </x:c>
      <x:c r="C27" s="11" t="str">
        <x:v>Yerel düzeltme sicili</x:v>
      </x:c>
      <x:c r="D27" s="13" t="n">
        <x:v>46324</x:v>
      </x:c>
      <x:c r="E27" s="11" t="str">
        <x:v>HSE içerik incelemesi: HSE-P2-01 / HSE-C01 / HSE-C02</x:v>
      </x:c>
      <x:c r="F27" s="11" t="str">
        <x:v>Ham araştırma değişmedi. Konsolide tasarımda P0DEMO, critical invalidation ve stale ACTIVE sınırları zorunlu.</x:v>
      </x:c>
    </x:row>
  </x:sheetData>
  <x:pageMargins left="0.7" right="0.7" top="0.75" bottom="0.75" header="0.3" footer="0.3"/>
  <x:tableParts count="1">
    <x:tablePart xmlns:r="http://schemas.openxmlformats.org/officeDocument/2006/relationships" r:id="R604597523f1b40e6"/>
  </x:tableParts>
</x:worksheet>
</file>