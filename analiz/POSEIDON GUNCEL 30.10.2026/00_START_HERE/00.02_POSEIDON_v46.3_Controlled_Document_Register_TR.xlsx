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c420f4ec064d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led Register" sheetId="1" r:id="R79156287c9714c54"/>
    <x:sheet xmlns:r="http://schemas.openxmlformats.org/officeDocument/2006/relationships" name="Rol Bazlı Yol" sheetId="2" r:id="Reac2a500a7434803"/>
    <x:sheet xmlns:r="http://schemas.openxmlformats.org/officeDocument/2006/relationships" name="Klasör Haritası" sheetId="3" r:id="Rb5df6d8aaa3c4d42"/>
    <x:sheet xmlns:r="http://schemas.openxmlformats.org/officeDocument/2006/relationships" name="Dashboard" sheetId="4" r:id="R101fcfe5fed944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084"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fd7f0ac70242bc" /><Relationship Type="http://schemas.openxmlformats.org/officeDocument/2006/relationships/theme" Target="/xl/theme/theme1.xml" Id="R06c197b077124ea7" /><Relationship Type="http://schemas.openxmlformats.org/officeDocument/2006/relationships/sharedStrings" Target="/xl/sharedStrings.xml" Id="R7e55cc4ef5194d34" /><Relationship Type="http://schemas.openxmlformats.org/officeDocument/2006/relationships/worksheet" Target="/xl/worksheets/sheet1.xml" Id="R79156287c9714c54" /><Relationship Type="http://schemas.openxmlformats.org/officeDocument/2006/relationships/worksheet" Target="/xl/worksheets/sheet2.xml" Id="Reac2a500a7434803" /><Relationship Type="http://schemas.openxmlformats.org/officeDocument/2006/relationships/worksheet" Target="/xl/worksheets/sheet3.xml" Id="Rb5df6d8aaa3c4d42" /><Relationship Type="http://schemas.openxmlformats.org/officeDocument/2006/relationships/worksheet" Target="/xl/worksheets/sheet4.xml" Id="R101fcfe5fed944c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bd5f406714d4f1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Doküman Statü Dağılımı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Adet</c:v>
          </c:tx>
          <c:cat>
            <c:strRef>
              <c:f>'Dashboard'!$D$4:$D$14</c:f>
              <c:strCache>
                <c:ptCount val="0"/>
              </c:strCache>
            </c:strRef>
          </c:cat>
          <c:val>
            <c:numRef>
              <c:f>'Dashboard'!$E$4:$E$14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d5f406714d4f1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ntrolledDocumentRegister" displayName="ControlledDocumentRegister" ref="A1:I114" headerRowCount="1" totalsRowCount="0" totalsRowShown="0">
  <x:tableColumns count="9">
    <x:tableColumn id="1" name="No"/>
    <x:tableColumn id="2" name="Klasör"/>
    <x:tableColumn id="3" name="Kontrollü Dosya Adı"/>
    <x:tableColumn id="4" name="Kaynak Sürüm"/>
    <x:tableColumn id="5" name="Statü"/>
    <x:tableColumn id="6" name="Öncelik"/>
    <x:tableColumn id="7" name="Hedef Kitle"/>
    <x:tableColumn id="8" name="Takip Sırası"/>
    <x:tableColumn id="9" name="Amaç / No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4722694ea145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a0e73800951b4ea5" /></Relationships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0" hidden="0" customWidth="1"/>
    <x:col min="2" max="2" width="32" hidden="0" customWidth="1"/>
    <x:col min="3" max="3" width="72" hidden="0" customWidth="1"/>
    <x:col min="4" max="4" width="22" hidden="0" customWidth="1"/>
    <x:col min="5" max="5" width="34" hidden="0" customWidth="1"/>
    <x:col min="6" max="6" width="12" hidden="0" customWidth="1"/>
    <x:col min="7" max="7" width="38" hidden="0" customWidth="1"/>
    <x:col min="8" max="8" width="40" hidden="0" customWidth="1"/>
    <x:col min="9" max="9" width="82" hidden="0" customWidth="1"/>
  </x:cols>
  <x:sheetData>
    <x:row r="1">
      <x:c r="A1" s="4" t="str">
        <x:v>No</x:v>
      </x:c>
      <x:c r="B1" s="4" t="str">
        <x:v>Klasör</x:v>
      </x:c>
      <x:c r="C1" s="4" t="str">
        <x:v>Kontrollü Dosya Adı</x:v>
      </x:c>
      <x:c r="D1" s="4" t="str">
        <x:v>Kaynak Sürüm</x:v>
      </x:c>
      <x:c r="E1" s="4" t="str">
        <x:v>Statü</x:v>
      </x:c>
      <x:c r="F1" s="4" t="str">
        <x:v>Öncelik</x:v>
      </x:c>
      <x:c r="G1" s="4" t="str">
        <x:v>Hedef Kitle</x:v>
      </x:c>
      <x:c r="H1" s="4" t="str">
        <x:v>Takip Sırası</x:v>
      </x:c>
      <x:c r="I1" s="4" t="str">
        <x:v>Amaç / Not</x:v>
      </x:c>
    </x:row>
    <x:row r="2">
      <x:c r="A2" s="8" t="str">
        <x:v>00.01</x:v>
      </x:c>
      <x:c r="B2" s="8" t="str">
        <x:v>00_START_HERE</x:v>
      </x:c>
      <x:c r="C2" s="8" t="str">
        <x:v>00.01_POSEIDON_v46.3_START_HERE_Controlled_Candidate_TR.docx</x:v>
      </x:c>
      <x:c r="D2" s="8" t="str">
        <x:v>v46.3</x:v>
      </x:c>
      <x:c r="E2" s="8" t="str">
        <x:v>CURRENT-CANONICAL</x:v>
      </x:c>
      <x:c r="F2" s="8" t="str">
        <x:v>P0</x:v>
      </x:c>
      <x:c r="G2" s="8" t="str">
        <x:v>Tüm ekip</x:v>
      </x:c>
      <x:c r="H2" s="8" t="str">
        <x:v>İlk açılacak dosya</x:v>
      </x:c>
      <x:c r="I2" s="8" t="str">
        <x:v>Doküman setinin kullanımı, statü ve finalization mantığı.</x:v>
      </x:c>
    </x:row>
    <x:row r="3">
      <x:c r="A3" s="8" t="str">
        <x:v>00.02</x:v>
      </x:c>
      <x:c r="B3" s="8" t="str">
        <x:v>00_START_HERE</x:v>
      </x:c>
      <x:c r="C3" s="8" t="str">
        <x:v>00.02_POSEIDON_v46.3_Controlled_Document_Register_TR.xlsx</x:v>
      </x:c>
      <x:c r="D3" s="8" t="str">
        <x:v>v46.3</x:v>
      </x:c>
      <x:c r="E3" s="8" t="str">
        <x:v>CURRENT-CANONICAL</x:v>
      </x:c>
      <x:c r="F3" s="8" t="str">
        <x:v>P0</x:v>
      </x:c>
      <x:c r="G3" s="8" t="str">
        <x:v>Tüm ekip</x:v>
      </x:c>
      <x:c r="H3" s="8" t="str">
        <x:v>00.01 ve 00.03 ile birlikte</x:v>
      </x:c>
      <x:c r="I3" s="8" t="str">
        <x:v>Tüm setin numarası, statüsü ve takip sırası. Güncel teslim özeti için 00.03.</x:v>
      </x:c>
    </x:row>
    <x:row r="4">
      <x:c r="A4" s="8" t="str">
        <x:v>01.01</x:v>
      </x:c>
      <x:c r="B4" s="8" t="str">
        <x:v>01_BUSINESS_DOMAIN</x:v>
      </x:c>
      <x:c r="C4" s="8" t="str">
        <x:v>01.01_POSEIDON_Business_Operating_Model_ve_Domain_Rehberi_TR.docx</x:v>
      </x:c>
      <x:c r="D4" s="8" t="str">
        <x:v>v46.2 support</x:v>
      </x:c>
      <x:c r="E4" s="8" t="str">
        <x:v>CURRENT-REFERENCE</x:v>
      </x:c>
      <x:c r="F4" s="8" t="str">
        <x:v>P0</x:v>
      </x:c>
      <x:c r="G4" s="8" t="str">
        <x:v>PO/BA, Dev, QA, Yönetim</x:v>
      </x:c>
      <x:c r="H4" s="8" t="str">
        <x:v>İlk business dokümanı</x:v>
      </x:c>
      <x:c r="I4" s="8" t="str">
        <x:v>Denizcilik business'ı ve POSEIDON kavramlarının gerçek hayattaki karşılığı.</x:v>
      </x:c>
    </x:row>
    <x:row r="5">
      <x:c r="A5" s="8" t="str">
        <x:v>01.02</x:v>
      </x:c>
      <x:c r="B5" s="8" t="str">
        <x:v>01_BUSINESS_DOMAIN</x:v>
      </x:c>
      <x:c r="C5" s="8" t="str">
        <x:v>01.02_Denizcilik_Saha_Bilgisi_ve_Yazilim_Analizi_El_Kitabi_POSEIDON.docx</x:v>
      </x:c>
      <x:c r="D5" s="8" t="str">
        <x:v>Reference</x:v>
      </x:c>
      <x:c r="E5" s="8" t="str">
        <x:v>CURRENT-REFERENCE</x:v>
      </x:c>
      <x:c r="F5" s="8" t="str">
        <x:v>P0</x:v>
      </x:c>
      <x:c r="G5" s="8" t="str">
        <x:v>PO/BA, Dev, QA</x:v>
      </x:c>
      <x:c r="H5" s="8" t="str">
        <x:v>01.01 sonrası</x:v>
      </x:c>
      <x:c r="I5" s="8" t="str">
        <x:v>Saha dili, gemi/römorkör ve yazılım analizi için domain el kitabı.</x:v>
      </x:c>
    </x:row>
    <x:row r="6">
      <x:c r="A6" s="8" t="str">
        <x:v>01.03</x:v>
      </x:c>
      <x:c r="B6" s="8" t="str">
        <x:v>01_BUSINESS_DOMAIN</x:v>
      </x:c>
      <x:c r="C6" s="8" t="str">
        <x:v>01.03_ISM_Code_Bastan_Sona_Ozet_ve_POSEIDON_Rehberi.docx</x:v>
      </x:c>
      <x:c r="D6" s="8" t="str">
        <x:v>Reference</x:v>
      </x:c>
      <x:c r="E6" s="8" t="str">
        <x:v>CURRENT-REFERENCE</x:v>
      </x:c>
      <x:c r="F6" s="8" t="str">
        <x:v>P0</x:v>
      </x:c>
      <x:c r="G6" s="8" t="str">
        <x:v>PO/BA, DPA, Regulatory</x:v>
      </x:c>
      <x:c r="H6" s="8" t="str">
        <x:v>01.02 sonrası</x:v>
      </x:c>
      <x:c r="I6" s="8" t="str">
        <x:v>ISM/SMS omurgasını anlamak için.</x:v>
      </x:c>
    </x:row>
    <x:row r="7">
      <x:c r="A7" s="8" t="str">
        <x:v>03.01</x:v>
      </x:c>
      <x:c r="B7" s="8" t="str">
        <x:v>02_PRODUCT_STRATEGY_SCOPE</x:v>
      </x:c>
      <x:c r="C7" s="8" t="str">
        <x:v>03.01_POSEIDON_NOZZLE_318_Ozellik_Rakip_Matrisi_ve_Revize_Kapsam_TR.xlsx</x:v>
      </x:c>
      <x:c r="D7" s="8" t="str">
        <x:v>Benchmark 2026-10</x:v>
      </x:c>
      <x:c r="E7" s="8" t="str">
        <x:v>CURRENT-ANALYSIS</x:v>
      </x:c>
      <x:c r="F7" s="8" t="str">
        <x:v>P1</x:v>
      </x:c>
      <x:c r="G7" s="8" t="str">
        <x:v>PO, Yönetim, Product Strategy</x:v>
      </x:c>
      <x:c r="H7" s="8" t="str">
        <x:v>Business sonrası</x:v>
      </x:c>
      <x:c r="I7" s="8" t="str">
        <x:v>NOZZLE ↔ POSEIDON özellik/gap/karar matrisi.</x:v>
      </x:c>
    </x:row>
    <x:row r="8">
      <x:c r="A8" s="8" t="str">
        <x:v>03.02</x:v>
      </x:c>
      <x:c r="B8" s="8" t="str">
        <x:v>02_PRODUCT_STRATEGY_SCOPE</x:v>
      </x:c>
      <x:c r="C8" s="8" t="str">
        <x:v>03.02_POSEIDON_NOZZLE_Rakip_Analizi_ve_Stratejik_Kararlar_TR.docx</x:v>
      </x:c>
      <x:c r="D8" s="8" t="str">
        <x:v>Benchmark 2026-10</x:v>
      </x:c>
      <x:c r="E8" s="8" t="str">
        <x:v>CURRENT-ANALYSIS</x:v>
      </x:c>
      <x:c r="F8" s="8" t="str">
        <x:v>P1</x:v>
      </x:c>
      <x:c r="G8" s="8" t="str">
        <x:v>PO, Yönetim, Sales, Tech</x:v>
      </x:c>
      <x:c r="H8" s="8" t="str">
        <x:v>03.01 ile birlikte</x:v>
      </x:c>
      <x:c r="I8" s="8" t="str">
        <x:v>Rakip analizinin stratejik yorumu ve kararları.</x:v>
      </x:c>
    </x:row>
    <x:row r="9">
      <x:c r="A9" s="8" t="str">
        <x:v>04.01</x:v>
      </x:c>
      <x:c r="B9" s="8" t="str">
        <x:v>02_PRODUCT_STRATEGY_SCOPE</x:v>
      </x:c>
      <x:c r="C9" s="8" t="str">
        <x:v>04.01_POSEIDON_v46.3_Revize_Nihai_Kapsam_ve_Urun_Karar_Kaydi_TR.docx</x:v>
      </x:c>
      <x:c r="D9" s="8" t="str">
        <x:v>v46.3</x:v>
      </x:c>
      <x:c r="E9" s="8" t="str">
        <x:v>CURRENT-CANONICAL</x:v>
      </x:c>
      <x:c r="F9" s="8" t="str">
        <x:v>P0</x:v>
      </x:c>
      <x:c r="G9" s="8" t="str">
        <x:v>Tüm ekip</x:v>
      </x:c>
      <x:c r="H9" s="8" t="str">
        <x:v>Rakip analizi sonrası</x:v>
      </x:c>
      <x:c r="I9" s="8" t="str">
        <x:v>Neyi ekledik, neyi güçlendirdik, neyi bilerek dışarıda tuttuk.</x:v>
      </x:c>
    </x:row>
    <x:row r="10">
      <x:c r="A10" s="8" t="str">
        <x:v>05.01</x:v>
      </x:c>
      <x:c r="B10" s="8" t="str">
        <x:v>02_PRODUCT_STRATEGY_SCOPE</x:v>
      </x:c>
      <x:c r="C10" s="8" t="str">
        <x:v>05.01_POSEIDON_v46.3_Master_Product_Specification_Gemi_Romorkor_TR.docx</x:v>
      </x:c>
      <x:c r="D10" s="8" t="str">
        <x:v>v46.3</x:v>
      </x:c>
      <x:c r="E10" s="8" t="str">
        <x:v>CURRENT-CANONICAL</x:v>
      </x:c>
      <x:c r="F10" s="8" t="str">
        <x:v>P0</x:v>
      </x:c>
      <x:c r="G10" s="8" t="str">
        <x:v>Tüm ekip</x:v>
      </x:c>
      <x:c r="H10" s="8" t="str">
        <x:v>Ana ürün referansı</x:v>
      </x:c>
      <x:c r="I10" s="8" t="str">
        <x:v>Ürün anayasası; scope/invariant/ana kararlar.</x:v>
      </x:c>
    </x:row>
    <x:row r="11">
      <x:c r="A11" s="8" t="str">
        <x:v>06.01</x:v>
      </x:c>
      <x:c r="B11" s="8" t="str">
        <x:v>03_REQUIREMENTS_REGULATORY</x:v>
      </x:c>
      <x:c r="C11" s="8" t="str">
        <x:v>06.01_POSEIDON_v46.3_PRD_SRS_Gemi_Romorkor_TR.docx</x:v>
      </x:c>
      <x:c r="D11" s="8" t="str">
        <x:v>v46.3</x:v>
      </x:c>
      <x:c r="E11" s="8" t="str">
        <x:v>CURRENT-CANONICAL</x:v>
      </x:c>
      <x:c r="F11" s="8" t="str">
        <x:v>P0</x:v>
      </x:c>
      <x:c r="G11" s="8" t="str">
        <x:v>PO/BA, Dev, QA</x:v>
      </x:c>
      <x:c r="H11" s="8" t="str">
        <x:v>05.01 sonrası</x:v>
      </x:c>
      <x:c r="I11" s="8" t="str">
        <x:v>Ürün gereksinimleri ve sistem gereksinimleri.</x:v>
      </x:c>
    </x:row>
    <x:row r="12" ht="30" customHeight="1">
      <x:c r="A12" s="8" t="str">
        <x:v>07.01</x:v>
      </x:c>
      <x:c r="B12" s="8" t="str">
        <x:v>03_REQUIREMENTS_REGULATORY</x:v>
      </x:c>
      <x:c r="C12" s="8" t="str">
        <x:v>07.01_POSEIDON_Master_Yasal_Regulatif_Mevzuat_Register_TR.xlsx</x:v>
      </x:c>
      <x:c r="D12" s="8" t="str">
        <x:v>v46.2 support</x:v>
      </x:c>
      <x:c r="E12" s="8" t="str">
        <x:v>CURRENT-SUPPORTING / REFRESH GATE</x:v>
      </x:c>
      <x:c r="F12" s="8" t="str">
        <x:v>P0</x:v>
      </x:c>
      <x:c r="G12" s="8" t="str">
        <x:v>Regulatory, PO, BA</x:v>
      </x:c>
      <x:c r="H12" s="8" t="str">
        <x:v>06.01 ile paralel</x:v>
      </x:c>
      <x:c r="I12" s="8" t="str">
        <x:v>128 kaynak kaydı: 18 birincil kaynak, 7 metadata, 103 masa başı inceleme. Güncellik ve applicability uzman onayı açıktır; hukuki sertifikasyon değildir.</x:v>
      </x:c>
    </x:row>
    <x:row r="13">
      <x:c r="A13" s="8" t="str">
        <x:v>08.01</x:v>
      </x:c>
      <x:c r="B13" s="8" t="str">
        <x:v>03_REQUIREMENTS_REGULATORY</x:v>
      </x:c>
      <x:c r="C13" s="8" t="str">
        <x:v>08.01_POSEIDON_Regulatory_Requirement_Traceability_Matrix_TR.xlsx</x:v>
      </x:c>
      <x:c r="D13" s="8" t="str">
        <x:v>v46.2 support</x:v>
      </x:c>
      <x:c r="E13" s="8" t="str">
        <x:v>CURRENT-SUPPORTING</x:v>
      </x:c>
      <x:c r="F13" s="8" t="str">
        <x:v>P0</x:v>
      </x:c>
      <x:c r="G13" s="8" t="str">
        <x:v>Regulatory, PO, QA</x:v>
      </x:c>
      <x:c r="H13" s="8" t="str">
        <x:v>07.01 sonrası</x:v>
      </x:c>
      <x:c r="I13" s="8" t="str">
        <x:v>Kaynak/requirement/uygulanabilirlik/trace matrisi.</x:v>
      </x:c>
    </x:row>
    <x:row r="14">
      <x:c r="A14" s="8" t="str">
        <x:v>08.02</x:v>
      </x:c>
      <x:c r="B14" s="8" t="str">
        <x:v>03_REQUIREMENTS_REGULATORY</x:v>
      </x:c>
      <x:c r="C14" s="8" t="str">
        <x:v>08.02_POSEIDON_Regulatory_Control_Review_TR.docx</x:v>
      </x:c>
      <x:c r="D14" s="8" t="str">
        <x:v>v46.2 support</x:v>
      </x:c>
      <x:c r="E14" s="8" t="str">
        <x:v>CURRENT-SUPPORTING</x:v>
      </x:c>
      <x:c r="F14" s="8" t="str">
        <x:v>P1</x:v>
      </x:c>
      <x:c r="G14" s="8" t="str">
        <x:v>Regulatory, QA</x:v>
      </x:c>
      <x:c r="H14" s="8" t="str">
        <x:v>08.01 sonrası</x:v>
      </x:c>
      <x:c r="I14" s="8" t="str">
        <x:v>Regulatory control review ve validation noktaları.</x:v>
      </x:c>
    </x:row>
    <x:row r="15">
      <x:c r="A15" s="8" t="str">
        <x:v>09.01</x:v>
      </x:c>
      <x:c r="B15" s="8" t="str">
        <x:v>03_REQUIREMENTS_REGULATORY</x:v>
      </x:c>
      <x:c r="C15" s="8" t="str">
        <x:v>09.01_POSEIDON_Dynamic_Applicability_Engine_Specification_TR.docx</x:v>
      </x:c>
      <x:c r="D15" s="8" t="str">
        <x:v>v46.2 support</x:v>
      </x:c>
      <x:c r="E15" s="8" t="str">
        <x:v>CURRENT-CONTRACT</x:v>
      </x:c>
      <x:c r="F15" s="8" t="str">
        <x:v>P0</x:v>
      </x:c>
      <x:c r="G15" s="8" t="str">
        <x:v>PO/BA, Backend, Regulatory</x:v>
      </x:c>
      <x:c r="H15" s="8" t="str">
        <x:v>07-08 sonrası</x:v>
      </x:c>
      <x:c r="I15" s="8" t="str">
        <x:v>Dynamic applicability karar motoru.</x:v>
      </x:c>
    </x:row>
    <x:row r="16">
      <x:c r="A16" s="8" t="str">
        <x:v>09.02</x:v>
      </x:c>
      <x:c r="B16" s="8" t="str">
        <x:v>03_REQUIREMENTS_REGULATORY</x:v>
      </x:c>
      <x:c r="C16" s="8" t="str">
        <x:v>09.02_POSEIDON_Dynamic_Applicability_Engine_Decision_Matrix_TR.xlsx</x:v>
      </x:c>
      <x:c r="D16" s="8" t="str">
        <x:v>v46.2 support</x:v>
      </x:c>
      <x:c r="E16" s="8" t="str">
        <x:v>CURRENT-CONTRACT</x:v>
      </x:c>
      <x:c r="F16" s="8" t="str">
        <x:v>P0</x:v>
      </x:c>
      <x:c r="G16" s="8" t="str">
        <x:v>Backend, QA, Regulatory</x:v>
      </x:c>
      <x:c r="H16" s="8" t="str">
        <x:v>09.01 ile birlikte</x:v>
      </x:c>
      <x:c r="I16" s="8" t="str">
        <x:v>Input/rule/golden test/simulator karar matrisi.</x:v>
      </x:c>
    </x:row>
    <x:row r="17" ht="30" customHeight="1">
      <x:c r="A17" s="8" t="str">
        <x:v>09.03</x:v>
      </x:c>
      <x:c r="B17" s="8" t="str">
        <x:v>03_REQUIREMENTS_REGULATORY</x:v>
      </x:c>
      <x:c r="C17" s="8" t="str">
        <x:v>09.03_POSEIDON_Applicability_Rule_DSL.schema.json</x:v>
      </x:c>
      <x:c r="D17" s="8" t="str">
        <x:v>v46.2 support</x:v>
      </x:c>
      <x:c r="E17" s="8" t="str">
        <x:v>CURRENT-CONTRACT</x:v>
      </x:c>
      <x:c r="F17" s="8" t="str">
        <x:v>P1</x:v>
      </x:c>
      <x:c r="G17" s="8" t="str">
        <x:v>Backend</x:v>
      </x:c>
      <x:c r="H17" s="8" t="str">
        <x:v>09.01 sonrası</x:v>
      </x:c>
      <x:c r="I17" s="8" t="str">
        <x:v>Rule DSL JSON schema; 23.07 ile statik contract kontrolü. Engine runtime doğrulaması değildir.</x:v>
      </x:c>
    </x:row>
    <x:row r="18">
      <x:c r="A18" s="8" t="str">
        <x:v>09.04</x:v>
      </x:c>
      <x:c r="B18" s="8" t="str">
        <x:v>03_REQUIREMENTS_REGULATORY</x:v>
      </x:c>
      <x:c r="C18" s="8" t="str">
        <x:v>09.04_POSEIDON_Applicability_Rules_Sample.json</x:v>
      </x:c>
      <x:c r="D18" s="8" t="str">
        <x:v>v46.2 support</x:v>
      </x:c>
      <x:c r="E18" s="8" t="str">
        <x:v>CURRENT-CONTRACT</x:v>
      </x:c>
      <x:c r="F18" s="8" t="str">
        <x:v>P1</x:v>
      </x:c>
      <x:c r="G18" s="8" t="str">
        <x:v>Backend, QA</x:v>
      </x:c>
      <x:c r="H18" s="8" t="str">
        <x:v>09.03 sonrası</x:v>
      </x:c>
      <x:c r="I18" s="8" t="str">
        <x:v>Örnek rule set.</x:v>
      </x:c>
    </x:row>
    <x:row r="19">
      <x:c r="A19" s="8" t="str">
        <x:v>09.05</x:v>
      </x:c>
      <x:c r="B19" s="8" t="str">
        <x:v>03_REQUIREMENTS_REGULATORY</x:v>
      </x:c>
      <x:c r="C19" s="8" t="str">
        <x:v>09.05_POSEIDON_Applicability_Evaluation_Request_Sample.json</x:v>
      </x:c>
      <x:c r="D19" s="8" t="str">
        <x:v>v46.2 support</x:v>
      </x:c>
      <x:c r="E19" s="8" t="str">
        <x:v>CURRENT-CONTRACT</x:v>
      </x:c>
      <x:c r="F19" s="8" t="str">
        <x:v>P1</x:v>
      </x:c>
      <x:c r="G19" s="8" t="str">
        <x:v>Backend, QA</x:v>
      </x:c>
      <x:c r="H19" s="8" t="str">
        <x:v>API geliştirmede</x:v>
      </x:c>
      <x:c r="I19" s="8" t="str">
        <x:v>Request örneği.</x:v>
      </x:c>
    </x:row>
    <x:row r="20" ht="30" customHeight="1">
      <x:c r="A20" s="8" t="str">
        <x:v>09.06</x:v>
      </x:c>
      <x:c r="B20" s="8" t="str">
        <x:v>03_REQUIREMENTS_REGULATORY</x:v>
      </x:c>
      <x:c r="C20" s="8" t="str">
        <x:v>09.06_POSEIDON_Applicability_Evaluation_Response_Sample.json</x:v>
      </x:c>
      <x:c r="D20" s="8" t="str">
        <x:v>v46.2 support</x:v>
      </x:c>
      <x:c r="E20" s="8" t="str">
        <x:v>CURRENT-CONTRACT / REVIEW</x:v>
      </x:c>
      <x:c r="F20" s="8" t="str">
        <x:v>P1</x:v>
      </x:c>
      <x:c r="G20" s="8" t="str">
        <x:v>Backend, QA</x:v>
      </x:c>
      <x:c r="H20" s="8" t="str">
        <x:v>API geliştirmede</x:v>
      </x:c>
      <x:c r="I20" s="8" t="str">
        <x:v>Örnek response/rule reconciliation düzeltmesi; 23.07 statik kontrol kanıtı. Gerçek engine sonucu değildir.</x:v>
      </x:c>
    </x:row>
    <x:row r="21" ht="30" customHeight="1">
      <x:c r="A21" s="8" t="str">
        <x:v>09.07</x:v>
      </x:c>
      <x:c r="B21" s="8" t="str">
        <x:v>03_REQUIREMENTS_REGULATORY</x:v>
      </x:c>
      <x:c r="C21" s="8" t="str">
        <x:v>09.07_POSEIDON_Applicability_Engine_OpenAPI.yaml</x:v>
      </x:c>
      <x:c r="D21" s="8" t="str">
        <x:v>v46.2 support</x:v>
      </x:c>
      <x:c r="E21" s="8" t="str">
        <x:v>CURRENT-CONTRACT</x:v>
      </x:c>
      <x:c r="F21" s="8" t="str">
        <x:v>P1</x:v>
      </x:c>
      <x:c r="G21" s="8" t="str">
        <x:v>Backend, Frontend</x:v>
      </x:c>
      <x:c r="H21" s="8" t="str">
        <x:v>09.01 sonrası</x:v>
      </x:c>
      <x:c r="I21" s="8" t="str">
        <x:v>Applicability API contract; statik doğrulama 23.07. Çalışan servis ve entegrasyon testleri açıktır.</x:v>
      </x:c>
    </x:row>
    <x:row r="22">
      <x:c r="A22" s="8" t="str">
        <x:v>10.01</x:v>
      </x:c>
      <x:c r="B22" s="8" t="str">
        <x:v>03_REQUIREMENTS_REGULATORY</x:v>
      </x:c>
      <x:c r="C22" s="8" t="str">
        <x:v>10.01_POSEIDON_Romorkor_Regulatory_Applicability_Pack_TR.docx</x:v>
      </x:c>
      <x:c r="D22" s="8" t="str">
        <x:v>v46.2 support</x:v>
      </x:c>
      <x:c r="E22" s="8" t="str">
        <x:v>CURRENT-SUPPORTING</x:v>
      </x:c>
      <x:c r="F22" s="8" t="str">
        <x:v>P0</x:v>
      </x:c>
      <x:c r="G22" s="8" t="str">
        <x:v>Tug SME, Regulatory, PO</x:v>
      </x:c>
      <x:c r="H22" s="8" t="str">
        <x:v>Römorkör geliştirmesi öncesi</x:v>
      </x:c>
      <x:c r="I22" s="8" t="str">
        <x:v>Römorkör applicability paketi.</x:v>
      </x:c>
    </x:row>
    <x:row r="23">
      <x:c r="A23" s="8" t="str">
        <x:v>10.02</x:v>
      </x:c>
      <x:c r="B23" s="8" t="str">
        <x:v>03_REQUIREMENTS_REGULATORY</x:v>
      </x:c>
      <x:c r="C23" s="8" t="str">
        <x:v>10.02_POSEIDON_Romorkor_Crew_Minimum_Manning_ve_Towing_Equipment_Spesifikasyonu_TR.docx</x:v>
      </x:c>
      <x:c r="D23" s="8" t="str">
        <x:v>v46.2 support</x:v>
      </x:c>
      <x:c r="E23" s="8" t="str">
        <x:v>CURRENT-SUPPORTING</x:v>
      </x:c>
      <x:c r="F23" s="8" t="str">
        <x:v>P0</x:v>
      </x:c>
      <x:c r="G23" s="8" t="str">
        <x:v>Crewing, Tug SME, Dev, QA</x:v>
      </x:c>
      <x:c r="H23" s="8" t="str">
        <x:v>10.01 sonrası</x:v>
      </x:c>
      <x:c r="I23" s="8" t="str">
        <x:v>Crew/MSMD/towing equipment spesifikasyonu.</x:v>
      </x:c>
    </x:row>
    <x:row r="24">
      <x:c r="A24" s="8" t="str">
        <x:v>10.03</x:v>
      </x:c>
      <x:c r="B24" s="8" t="str">
        <x:v>03_REQUIREMENTS_REGULATORY</x:v>
      </x:c>
      <x:c r="C24" s="8" t="str">
        <x:v>10.03_POSEIDON_Romorkor_Crew_Minimum_Manning_Towing_Equipment_Rule_Pack_TR.xlsx</x:v>
      </x:c>
      <x:c r="D24" s="8" t="str">
        <x:v>v46.2 support</x:v>
      </x:c>
      <x:c r="E24" s="8" t="str">
        <x:v>CURRENT-SUPPORTING</x:v>
      </x:c>
      <x:c r="F24" s="8" t="str">
        <x:v>P0</x:v>
      </x:c>
      <x:c r="G24" s="8" t="str">
        <x:v>Crewing, Tug SME, QA</x:v>
      </x:c>
      <x:c r="H24" s="8" t="str">
        <x:v>10.02 ile birlikte</x:v>
      </x:c>
      <x:c r="I24" s="8" t="str">
        <x:v>Rule pack/test/karar tabloları.</x:v>
      </x:c>
    </x:row>
    <x:row r="25">
      <x:c r="A25" s="8" t="str">
        <x:v>11.01</x:v>
      </x:c>
      <x:c r="B25" s="8" t="str">
        <x:v>03_REQUIREMENTS_REGULATORY</x:v>
      </x:c>
      <x:c r="C25" s="8" t="str">
        <x:v>11.01_POSEIDON_v46.3_Controlled_Implementation_Traceability_Matrix_TR.xlsx</x:v>
      </x:c>
      <x:c r="D25" s="8" t="str">
        <x:v>v46.3</x:v>
      </x:c>
      <x:c r="E25" s="8" t="str">
        <x:v>CURRENT-CANONICAL</x:v>
      </x:c>
      <x:c r="F25" s="8" t="str">
        <x:v>P0</x:v>
      </x:c>
      <x:c r="G25" s="8" t="str">
        <x:v>PO/BA, Dev, QA</x:v>
      </x:c>
      <x:c r="H25" s="8" t="str">
        <x:v>Geliştirme ana referansı</x:v>
      </x:c>
      <x:c r="I25" s="8" t="str">
        <x:v>196 ekran / 2.316 alan; requirement-screen-field-API/entity-test trace.</x:v>
      </x:c>
    </x:row>
    <x:row r="26" ht="30" customHeight="1">
      <x:c r="A26" s="8" t="str">
        <x:v>12.01</x:v>
      </x:c>
      <x:c r="B26" s="8" t="str">
        <x:v>04_UX_PRODUCT_DESIGN</x:v>
      </x:c>
      <x:c r="C26" s="8" t="str">
        <x:v>12.01_POSEIDON_v46.3_TR_EN_Tam_Calisir_Tiklanabilir_Prototip.html</x:v>
      </x:c>
      <x:c r="D26" s="8" t="str">
        <x:v>v46.3</x:v>
      </x:c>
      <x:c r="E26" s="8" t="str">
        <x:v>CURRENT-CANONICAL</x:v>
      </x:c>
      <x:c r="F26" s="8" t="str">
        <x:v>P0</x:v>
      </x:c>
      <x:c r="G26" s="8" t="str">
        <x:v>PO, UX, Dev, QA</x:v>
      </x:c>
      <x:c r="H26" s="8" t="str">
        <x:v>11.01 ile birlikte</x:v>
      </x:c>
      <x:c r="I26" s="8" t="str">
        <x:v>TR/EN tıklanabilir prototip. 23.08 statik/VM kontrol kanıtı; tarayıcı uçtan uca testi ve production uygulaması değildir.</x:v>
      </x:c>
    </x:row>
    <x:row r="27">
      <x:c r="A27" s="8" t="str">
        <x:v>13.01</x:v>
      </x:c>
      <x:c r="B27" s="8" t="str">
        <x:v>04_UX_PRODUCT_DESIGN</x:v>
      </x:c>
      <x:c r="C27" s="8" t="str">
        <x:v>13.01_POSEIDON_Gemi_Romorkor_Kullanim_ve_Surec_Rehberi_TR.docx</x:v>
      </x:c>
      <x:c r="D27" s="8" t="str">
        <x:v>v46.2 support</x:v>
      </x:c>
      <x:c r="E27" s="8" t="str">
        <x:v>CURRENT-REFERENCE</x:v>
      </x:c>
      <x:c r="F27" s="8" t="str">
        <x:v>P1</x:v>
      </x:c>
      <x:c r="G27" s="8" t="str">
        <x:v>Kullanıcı, PO, QA</x:v>
      </x:c>
      <x:c r="H27" s="8" t="str">
        <x:v>Prototip sonrası</x:v>
      </x:c>
      <x:c r="I27" s="8" t="str">
        <x:v>Core Gemi+Römorkör süreç rehberi; v46.3 delta için 11.01/12.01 esas.</x:v>
      </x:c>
    </x:row>
    <x:row r="28">
      <x:c r="A28" s="8" t="str">
        <x:v>13.02</x:v>
      </x:c>
      <x:c r="B28" s="8" t="str">
        <x:v>04_UX_PRODUCT_DESIGN</x:v>
      </x:c>
      <x:c r="C28" s="8" t="str">
        <x:v>13.02_POSEIDON_v46.3_196_Ekran_Gorselli_Kullanim_Katalogu_TR.docx</x:v>
      </x:c>
      <x:c r="D28" s="8" t="str">
        <x:v>v46.3</x:v>
      </x:c>
      <x:c r="E28" s="8" t="str">
        <x:v>CURRENT-CANONICAL</x:v>
      </x:c>
      <x:c r="F28" s="8" t="str">
        <x:v>P0</x:v>
      </x:c>
      <x:c r="G28" s="8" t="str">
        <x:v>PO, UX, Dev, QA, Training</x:v>
      </x:c>
      <x:c r="H28" s="8" t="str">
        <x:v>12.01 sonrası / ekran review</x:v>
      </x:c>
      <x:c r="I28" s="8" t="str">
        <x:v>196 ekranın görsel envanteri; trace kuralları 11.01'den okunur.</x:v>
      </x:c>
    </x:row>
    <x:row r="29">
      <x:c r="A29" s="8" t="str">
        <x:v>13.03</x:v>
      </x:c>
      <x:c r="B29" s="8" t="str">
        <x:v>04_UX_PRODUCT_DESIGN</x:v>
      </x:c>
      <x:c r="C29" s="8" t="str">
        <x:v>13.03_POSEIDON_v46.3_Rol_Bazli_Kullanici_El_Kitabi_TR.docx</x:v>
      </x:c>
      <x:c r="D29" s="8" t="str">
        <x:v>v46.3</x:v>
      </x:c>
      <x:c r="E29" s="8" t="str">
        <x:v>CURRENT-CANONICAL</x:v>
      </x:c>
      <x:c r="F29" s="8" t="str">
        <x:v>P1</x:v>
      </x:c>
      <x:c r="G29" s="8" t="str">
        <x:v>Master, Tug Master, DPA, Chief Engineer, Crew, Shore Ops</x:v>
      </x:c>
      <x:c r="H29" s="8" t="str">
        <x:v>Training/UAT/onboarding</x:v>
      </x:c>
      <x:c r="I29" s="8" t="str">
        <x:v>Role-first kullanım, karar yetkisi, offline ve support akışları.</x:v>
      </x:c>
    </x:row>
    <x:row r="30">
      <x:c r="A30" s="8" t="str">
        <x:v>13.04</x:v>
      </x:c>
      <x:c r="B30" s="8" t="str">
        <x:v>04_UX_PRODUCT_DESIGN</x:v>
      </x:c>
      <x:c r="C30" s="8" t="str">
        <x:v>13.04_POSEIDON_v46.3_Design_System_ve_UX_Standartlari_TR.docx</x:v>
      </x:c>
      <x:c r="D30" s="8" t="str">
        <x:v>v46.3</x:v>
      </x:c>
      <x:c r="E30" s="8" t="str">
        <x:v>CURRENT-CANONICAL</x:v>
      </x:c>
      <x:c r="F30" s="8" t="str">
        <x:v>P0</x:v>
      </x:c>
      <x:c r="G30" s="8" t="str">
        <x:v>UX, Frontend, PO, QA</x:v>
      </x:c>
      <x:c r="H30" s="8" t="str">
        <x:v>Tasarım ve frontend geliştirmede</x:v>
      </x:c>
      <x:c r="I30" s="8" t="str">
        <x:v>Layout, component, state, form, grid, accessibility ve UX acceptance standardı.</x:v>
      </x:c>
    </x:row>
    <x:row r="31">
      <x:c r="A31" s="8" t="str">
        <x:v>13.05</x:v>
      </x:c>
      <x:c r="B31" s="8" t="str">
        <x:v>04_UX_PRODUCT_DESIGN</x:v>
      </x:c>
      <x:c r="C31" s="8" t="str">
        <x:v>13.05_POSEIDON_v46.3_Modul_ve_Menu_Agaci_TR.xlsx</x:v>
      </x:c>
      <x:c r="D31" s="8" t="str">
        <x:v>v46.3</x:v>
      </x:c>
      <x:c r="E31" s="8" t="str">
        <x:v>CURRENT-CANONICAL</x:v>
      </x:c>
      <x:c r="F31" s="8" t="str">
        <x:v>P0</x:v>
      </x:c>
      <x:c r="G31" s="8" t="str">
        <x:v>PO, BA, UX, Frontend, QA</x:v>
      </x:c>
      <x:c r="H31" s="8" t="str">
        <x:v>13.04 sonrası / geliştirme IA referansı</x:v>
      </x:c>
      <x:c r="I31" s="8" t="str">
        <x:v>11 ana menü, 39 navigasyon modülü ve 196 ekranın Ana Menü→Modül→Alt Modül→Ekran eşlemesi; sidebar ve navigasyon kuralları.</x:v>
      </x:c>
    </x:row>
    <x:row r="32" ht="30" customHeight="1">
      <x:c r="A32" s="8" t="str">
        <x:v>13.06</x:v>
      </x:c>
      <x:c r="B32" s="8" t="str">
        <x:v>04_UX_PRODUCT_DESIGN</x:v>
      </x:c>
      <x:c r="C32" s="8" t="str">
        <x:v>13.06_POSEIDON_v46.3_Modul_Isleyis_Surec_ve_Veri_Master_Katalogu_TR.xlsx</x:v>
      </x:c>
      <x:c r="D32" s="8" t="str">
        <x:v>v46.3</x:v>
      </x:c>
      <x:c r="E32" s="8" t="str">
        <x:v>CURRENT-CANONICAL</x:v>
      </x:c>
      <x:c r="F32" s="8" t="str">
        <x:v>P0</x:v>
      </x:c>
      <x:c r="G32" s="8" t="str">
        <x:v>PO, BA, UX, Dev, QA, SME</x:v>
      </x:c>
      <x:c r="H32" s="8" t="str">
        <x:v>13.05 sonrası / modül-süreç ana referansı</x:v>
      </x:c>
      <x:c r="I32" s="8" t="str">
        <x:v>39 navigasyon modülünün süreç/veri master kataloğu. Kaynak ve önerilen süreçler ayrıdır; SME/process kabulü açıktır.</x:v>
      </x:c>
    </x:row>
    <x:row r="33">
      <x:c r="A33" s="8" t="str">
        <x:v>14.01</x:v>
      </x:c>
      <x:c r="B33" s="8" t="str">
        <x:v>05_TECHNICAL_ARCHITECTURE</x:v>
      </x:c>
      <x:c r="C33" s="8" t="str">
        <x:v>14.01_POSEIDON_v46.3_Product_Wide_ERD_Data_Architecture_TR.docx</x:v>
      </x:c>
      <x:c r="D33" s="8" t="str">
        <x:v>v46.3</x:v>
      </x:c>
      <x:c r="E33" s="8" t="str">
        <x:v>CURRENT-CANONICAL</x:v>
      </x:c>
      <x:c r="F33" s="8" t="str">
        <x:v>P0</x:v>
      </x:c>
      <x:c r="G33" s="8" t="str">
        <x:v>Architect, Backend, PO</x:v>
      </x:c>
      <x:c r="H33" s="8" t="str">
        <x:v>PRD/prototip sonrası</x:v>
      </x:c>
      <x:c r="I33" s="8" t="str">
        <x:v>Ürün geneli domain ve data architecture.</x:v>
      </x:c>
    </x:row>
    <x:row r="34" ht="30" customHeight="1">
      <x:c r="A34" s="8" t="str">
        <x:v>14.02</x:v>
      </x:c>
      <x:c r="B34" s="8" t="str">
        <x:v>05_TECHNICAL_ARCHITECTURE</x:v>
      </x:c>
      <x:c r="C34" s="8" t="str">
        <x:v>14.02_POSEIDON_v46.3_Product_Wide_Data_Dictionary_TR.xlsx</x:v>
      </x:c>
      <x:c r="D34" s="8" t="str">
        <x:v>v46.3</x:v>
      </x:c>
      <x:c r="E34" s="8" t="str">
        <x:v>CURRENT-CANONICAL / PROD REVIEW</x:v>
      </x:c>
      <x:c r="F34" s="8" t="str">
        <x:v>P0</x:v>
      </x:c>
      <x:c r="G34" s="8" t="str">
        <x:v>PO, BA, Architect, Backend, DBA, QA, Security</x:v>
      </x:c>
      <x:c r="H34" s="8" t="str">
        <x:v>14.01 sonrası / schema-contract freeze öncesi</x:v>
      </x:c>
      <x:c r="I34" s="8" t="str">
        <x:v>2.316 alan; 518 kaynak boşluğu (3/107/119/98/191), üretim kapatma 0. ship_type bu 518 içinde değil. 49 ek öneridir; 14.02 kaynağı ve alan/hukuk onay kapıları değişmedi.</x:v>
      </x:c>
    </x:row>
    <x:row r="35">
      <x:c r="A35" s="8" t="str">
        <x:v>15.01</x:v>
      </x:c>
      <x:c r="B35" s="8" t="str">
        <x:v>05_TECHNICAL_ARCHITECTURE</x:v>
      </x:c>
      <x:c r="C35" s="8" t="str">
        <x:v>15.01_POSEIDON_v46.3_Product_Wide_API_Integration_Specification_TR.docx</x:v>
      </x:c>
      <x:c r="D35" s="8" t="str">
        <x:v>v46.3</x:v>
      </x:c>
      <x:c r="E35" s="8" t="str">
        <x:v>CURRENT-CANONICAL</x:v>
      </x:c>
      <x:c r="F35" s="8" t="str">
        <x:v>P0</x:v>
      </x:c>
      <x:c r="G35" s="8" t="str">
        <x:v>Architect, Backend, Integration</x:v>
      </x:c>
      <x:c r="H35" s="8" t="str">
        <x:v>14.01 sonrası</x:v>
      </x:c>
      <x:c r="I35" s="8" t="str">
        <x:v>Canonical API/event/offline/integration spec.</x:v>
      </x:c>
    </x:row>
    <x:row r="36" ht="30" customHeight="1">
      <x:c r="A36" s="8" t="str">
        <x:v>16.01</x:v>
      </x:c>
      <x:c r="B36" s="8" t="str">
        <x:v>05_TECHNICAL_ARCHITECTURE</x:v>
      </x:c>
      <x:c r="C36" s="8" t="str">
        <x:v>16.01_POSEIDON_v46.3_Product_Wide_API_OpenAPI_Skeleton.yaml</x:v>
      </x:c>
      <x:c r="D36" s="8" t="str">
        <x:v>v46.3</x:v>
      </x:c>
      <x:c r="E36" s="8" t="str">
        <x:v>CURRENT-CONTRACT</x:v>
      </x:c>
      <x:c r="F36" s="8" t="str">
        <x:v>P0</x:v>
      </x:c>
      <x:c r="G36" s="8" t="str">
        <x:v>Backend, Frontend</x:v>
      </x:c>
      <x:c r="H36" s="8" t="str">
        <x:v>15.01 ile birlikte</x:v>
      </x:c>
      <x:c r="I36" s="8" t="str">
        <x:v>Product-wide OpenAPI skeleton. 23.07 statik contract kontrolü; runtime API, yetki ve entegrasyon testleri açıktır.</x:v>
      </x:c>
    </x:row>
    <x:row r="37">
      <x:c r="A37" s="8" t="str">
        <x:v>17.01</x:v>
      </x:c>
      <x:c r="B37" s="8" t="str">
        <x:v>05_TECHNICAL_ARCHITECTURE</x:v>
      </x:c>
      <x:c r="C37" s="8" t="str">
        <x:v>17.01_POSEIDON_AI_Governance_Data_Strategy_TR.docx</x:v>
      </x:c>
      <x:c r="D37" s="8" t="str">
        <x:v>v46.2 support</x:v>
      </x:c>
      <x:c r="E37" s="8" t="str">
        <x:v>CURRENT-SUPPORTING</x:v>
      </x:c>
      <x:c r="F37" s="8" t="str">
        <x:v>P0</x:v>
      </x:c>
      <x:c r="G37" s="8" t="str">
        <x:v>PO, AI, Legal, Security, Dev</x:v>
      </x:c>
      <x:c r="H37" s="8" t="str">
        <x:v>AI geliştirme öncesi</x:v>
      </x:c>
      <x:c r="I37" s="8" t="str">
        <x:v>AI authority/data/privacy/cyber/evaluation guardrail.</x:v>
      </x:c>
    </x:row>
    <x:row r="38">
      <x:c r="A38" s="8" t="str">
        <x:v>18.01</x:v>
      </x:c>
      <x:c r="B38" s="8" t="str">
        <x:v>06_DEVELOPMENT</x:v>
      </x:c>
      <x:c r="C38" s="8" t="str">
        <x:v>18.01_POSEIDON_v46.3_Development_Backlog_TR.xlsx</x:v>
      </x:c>
      <x:c r="D38" s="8" t="str">
        <x:v>v46.3</x:v>
      </x:c>
      <x:c r="E38" s="8" t="str">
        <x:v>CURRENT-CANONICAL</x:v>
      </x:c>
      <x:c r="F38" s="8" t="str">
        <x:v>P0</x:v>
      </x:c>
      <x:c r="G38" s="8" t="str">
        <x:v>PO, PM, Dev, QA</x:v>
      </x:c>
      <x:c r="H38" s="8" t="str">
        <x:v>Sprint planlamada</x:v>
      </x:c>
      <x:c r="I38" s="8" t="str">
        <x:v>v46.3 controlled backlog ve sprint plan.</x:v>
      </x:c>
    </x:row>
    <x:row r="39">
      <x:c r="A39" s="8" t="str">
        <x:v>18.02</x:v>
      </x:c>
      <x:c r="B39" s="8" t="str">
        <x:v>06_DEVELOPMENT</x:v>
      </x:c>
      <x:c r="C39" s="8" t="str">
        <x:v>18.02_POSEIDON_v46.3_Release_Version_Change_Control_Standardi_TR.docx</x:v>
      </x:c>
      <x:c r="D39" s="8" t="str">
        <x:v>v46.3</x:v>
      </x:c>
      <x:c r="E39" s="8" t="str">
        <x:v>CURRENT-CANONICAL</x:v>
      </x:c>
      <x:c r="F39" s="8" t="str">
        <x:v>P0</x:v>
      </x:c>
      <x:c r="G39" s="8" t="str">
        <x:v>PO, BA, Architect, QA, Engineering</x:v>
      </x:c>
      <x:c r="H39" s="8" t="str">
        <x:v>Her material değişiklikte</x:v>
      </x:c>
      <x:c r="I39" s="8" t="str">
        <x:v>Change class, impact, DoR/DoD, versioning, emergency change ve controlled release.</x:v>
      </x:c>
    </x:row>
    <x:row r="40">
      <x:c r="A40" s="8" t="str">
        <x:v>18.03</x:v>
      </x:c>
      <x:c r="B40" s="8" t="str">
        <x:v>06_DEVELOPMENT</x:v>
      </x:c>
      <x:c r="C40" s="8" t="str">
        <x:v>18.03_POSEIDON_v46.3_Data_Migration_ve_Customer_Onboarding_Plani_TR.docx</x:v>
      </x:c>
      <x:c r="D40" s="8" t="str">
        <x:v>v46.3</x:v>
      </x:c>
      <x:c r="E40" s="8" t="str">
        <x:v>CURRENT-CANONICAL</x:v>
      </x:c>
      <x:c r="F40" s="8" t="str">
        <x:v>P0</x:v>
      </x:c>
      <x:c r="G40" s="8" t="str">
        <x:v>PO, BA, Data, Customer, Engineering</x:v>
      </x:c>
      <x:c r="H40" s="8" t="str">
        <x:v>Pilot/yeni müşteri öncesi</x:v>
      </x:c>
      <x:c r="I40" s="8" t="str">
        <x:v>Discovery→mapping→trial import→reconciliation→cutover→hypercare.</x:v>
      </x:c>
    </x:row>
    <x:row r="41">
      <x:c r="A41" s="8" t="str">
        <x:v>18.04</x:v>
      </x:c>
      <x:c r="B41" s="8" t="str">
        <x:v>06_DEVELOPMENT</x:v>
      </x:c>
      <x:c r="C41" s="8" t="str">
        <x:v>18.04_POSEIDON_v46.3_Integration_Catalogue_TR.docx</x:v>
      </x:c>
      <x:c r="D41" s="8" t="str">
        <x:v>v46.3</x:v>
      </x:c>
      <x:c r="E41" s="8" t="str">
        <x:v>CURRENT-CANONICAL</x:v>
      </x:c>
      <x:c r="F41" s="8" t="str">
        <x:v>P1</x:v>
      </x:c>
      <x:c r="G41" s="8" t="str">
        <x:v>Architect, Backend, Integration, Security</x:v>
      </x:c>
      <x:c r="H41" s="8" t="str">
        <x:v>Entegrasyon tasarımında</x:v>
      </x:c>
      <x:c r="I41" s="8" t="str">
        <x:v>IdP/ERP/HR/AIS/notifications/class/storage/AI integration contracts ve failure handling.</x:v>
      </x:c>
    </x:row>
    <x:row r="42">
      <x:c r="A42" s="8" t="str">
        <x:v>19.01</x:v>
      </x:c>
      <x:c r="B42" s="8" t="str">
        <x:v>07_TEST_PILOT_RELEASE</x:v>
      </x:c>
      <x:c r="C42" s="8" t="str">
        <x:v>19.01_POSEIDON_v46.3_Test_Pilot_UAT_Release_Gates_TR.docx</x:v>
      </x:c>
      <x:c r="D42" s="8" t="str">
        <x:v>v46.3</x:v>
      </x:c>
      <x:c r="E42" s="8" t="str">
        <x:v>CURRENT-CANONICAL</x:v>
      </x:c>
      <x:c r="F42" s="8" t="str">
        <x:v>P0</x:v>
      </x:c>
      <x:c r="G42" s="8" t="str">
        <x:v>QA, PO, Pilot</x:v>
      </x:c>
      <x:c r="H42" s="8" t="str">
        <x:v>Geliştirme boyunca</x:v>
      </x:c>
      <x:c r="I42" s="8" t="str">
        <x:v>Test/UAT/pilot/release gate ana dokümanı.</x:v>
      </x:c>
    </x:row>
    <x:row r="43">
      <x:c r="A43" s="8" t="str">
        <x:v>20.01</x:v>
      </x:c>
      <x:c r="B43" s="8" t="str">
        <x:v>07_TEST_PILOT_RELEASE</x:v>
      </x:c>
      <x:c r="C43" s="8" t="str">
        <x:v>20.01_POSEIDON_v46.3_Pilot_Signoff_Final_Freeze_Execution_Workbook_TR.xlsx</x:v>
      </x:c>
      <x:c r="D43" s="8" t="str">
        <x:v>v46.3</x:v>
      </x:c>
      <x:c r="E43" s="8" t="str">
        <x:v>CURRENT-EXECUTION</x:v>
      </x:c>
      <x:c r="F43" s="8" t="str">
        <x:v>P0</x:v>
      </x:c>
      <x:c r="G43" s="8" t="str">
        <x:v>Pilot, QA, PO, SME</x:v>
      </x:c>
      <x:c r="H43" s="8" t="str">
        <x:v>Pilot çalıştırmada</x:v>
      </x:c>
      <x:c r="I43" s="8" t="str">
        <x:v>Ship/Tug UAT, sign-off, evidence, defect, final freeze tracker.</x:v>
      </x:c>
    </x:row>
    <x:row r="44">
      <x:c r="A44" s="8" t="str">
        <x:v>21.01</x:v>
      </x:c>
      <x:c r="B44" s="8" t="str">
        <x:v>07_TEST_PILOT_RELEASE</x:v>
      </x:c>
      <x:c r="C44" s="8" t="str">
        <x:v>21.01_POSEIDON_External_Legal_Flag_Class_Signoff_Pack_TR.docx</x:v>
      </x:c>
      <x:c r="D44" s="8" t="str">
        <x:v>v46.2 support</x:v>
      </x:c>
      <x:c r="E44" s="8" t="str">
        <x:v>CURRENT-EXECUTION</x:v>
      </x:c>
      <x:c r="F44" s="8" t="str">
        <x:v>P0</x:v>
      </x:c>
      <x:c r="G44" s="8" t="str">
        <x:v>Legal, Flag, Class, Regulatory</x:v>
      </x:c>
      <x:c r="H44" s="8" t="str">
        <x:v>Pilot/release öncesi</x:v>
      </x:c>
      <x:c r="I44" s="8" t="str">
        <x:v>Gerçek dış uzman sign-off gate paketi.</x:v>
      </x:c>
    </x:row>
    <x:row r="45">
      <x:c r="A45" s="8" t="str">
        <x:v>22.01</x:v>
      </x:c>
      <x:c r="B45" s="8" t="str">
        <x:v>07_TEST_PILOT_RELEASE</x:v>
      </x:c>
      <x:c r="C45" s="8" t="str">
        <x:v>22.01_POSEIDON_v46.3_Certification_Proof_ve_Finalization_Roadmap_TR.docx</x:v>
      </x:c>
      <x:c r="D45" s="8" t="str">
        <x:v>v46.3</x:v>
      </x:c>
      <x:c r="E45" s="8" t="str">
        <x:v>CURRENT-CANONICAL</x:v>
      </x:c>
      <x:c r="F45" s="8" t="str">
        <x:v>P1</x:v>
      </x:c>
      <x:c r="G45" s="8" t="str">
        <x:v>Product, QA, Tech, Management</x:v>
      </x:c>
      <x:c r="H45" s="8" t="str">
        <x:v>Pilot hazırlığında</x:v>
      </x:c>
      <x:c r="I45" s="8" t="str">
        <x:v>Class/ISO/pilot proof/finalization roadmap.</x:v>
      </x:c>
    </x:row>
    <x:row r="46">
      <x:c r="A46" s="8" t="str">
        <x:v>23.01</x:v>
      </x:c>
      <x:c r="B46" s="8" t="str">
        <x:v>07_TEST_PILOT_RELEASE</x:v>
      </x:c>
      <x:c r="C46" s="8" t="str">
        <x:v>23.01_POSEIDON_CI_DB_Engineering_Validation_Gate_TR.docx</x:v>
      </x:c>
      <x:c r="D46" s="8" t="str">
        <x:v>v46.2 support</x:v>
      </x:c>
      <x:c r="E46" s="8" t="str">
        <x:v>CURRENT-EXECUTION</x:v>
      </x:c>
      <x:c r="F46" s="8" t="str">
        <x:v>P0</x:v>
      </x:c>
      <x:c r="G46" s="8" t="str">
        <x:v>Engineering, QA</x:v>
      </x:c>
      <x:c r="H46" s="8" t="str">
        <x:v>İlk gerçek CI ortamında</x:v>
      </x:c>
      <x:c r="I46" s="8" t="str">
        <x:v>Build/test/PostgreSQL validation gate.</x:v>
      </x:c>
    </x:row>
    <x:row r="47" ht="30" customHeight="1">
      <x:c r="A47" s="8" t="str">
        <x:v>23.02</x:v>
      </x:c>
      <x:c r="B47" s="8" t="str">
        <x:v>07_TEST_PILOT_RELEASE</x:v>
      </x:c>
      <x:c r="C47" s="8" t="str">
        <x:v>23.02_POSEIDON_run_engineering_gate.sh</x:v>
      </x:c>
      <x:c r="D47" s="8" t="str">
        <x:v>v46.2 support</x:v>
      </x:c>
      <x:c r="E47" s="8" t="str">
        <x:v>CURRENT-EXECUTION</x:v>
      </x:c>
      <x:c r="F47" s="8" t="str">
        <x:v>P1</x:v>
      </x:c>
      <x:c r="G47" s="8" t="str">
        <x:v>Engineering</x:v>
      </x:c>
      <x:c r="H47" s="8" t="str">
        <x:v>23.01 ile birlikte</x:v>
      </x:c>
      <x:c r="I47" s="8" t="str">
        <x:v>Engineering gate script güncellendi. Script varlığı build/test/PostgreSQL gate geçişi değildir.</x:v>
      </x:c>
    </x:row>
    <x:row r="48">
      <x:c r="A48" s="8" t="str">
        <x:v>23.03</x:v>
      </x:c>
      <x:c r="B48" s="8" t="str">
        <x:v>07_TEST_PILOT_RELEASE</x:v>
      </x:c>
      <x:c r="C48" s="8" t="str">
        <x:v>23.03_POSEIDON_v46.3_Deployment_Environment_Runbook_TR.docx</x:v>
      </x:c>
      <x:c r="D48" s="8" t="str">
        <x:v>v46.3</x:v>
      </x:c>
      <x:c r="E48" s="8" t="str">
        <x:v>CURRENT-EXECUTION</x:v>
      </x:c>
      <x:c r="F48" s="8" t="str">
        <x:v>P0</x:v>
      </x:c>
      <x:c r="G48" s="8" t="str">
        <x:v>DevOps, Engineering, QA, Release</x:v>
      </x:c>
      <x:c r="H48" s="8" t="str">
        <x:v>DEV→TEST→UAT→PILOT→PROD</x:v>
      </x:c>
      <x:c r="I48" s="8" t="str">
        <x:v>CI/CD, migration, secrets, pre-deploy, Go/No-Go ve rollback.</x:v>
      </x:c>
    </x:row>
    <x:row r="49">
      <x:c r="A49" s="8" t="str">
        <x:v>23.04</x:v>
      </x:c>
      <x:c r="B49" s="8" t="str">
        <x:v>07_TEST_PILOT_RELEASE</x:v>
      </x:c>
      <x:c r="C49" s="8" t="str">
        <x:v>23.04_POSEIDON_v46.3_Backup_Restore_DR_Runbook_TR.docx</x:v>
      </x:c>
      <x:c r="D49" s="8" t="str">
        <x:v>v46.3</x:v>
      </x:c>
      <x:c r="E49" s="8" t="str">
        <x:v>CURRENT-EXECUTION</x:v>
      </x:c>
      <x:c r="F49" s="8" t="str">
        <x:v>P0</x:v>
      </x:c>
      <x:c r="G49" s="8" t="str">
        <x:v>SRE/DevOps, Engineering, Security</x:v>
      </x:c>
      <x:c r="H49" s="8" t="str">
        <x:v>Recovery/restore/DR</x:v>
      </x:c>
      <x:c r="I49" s="8" t="str">
        <x:v>DB/object/config backup, restore test, recovery tier ve DR activation.</x:v>
      </x:c>
    </x:row>
    <x:row r="50">
      <x:c r="A50" s="8" t="str">
        <x:v>23.05</x:v>
      </x:c>
      <x:c r="B50" s="8" t="str">
        <x:v>07_TEST_PILOT_RELEASE</x:v>
      </x:c>
      <x:c r="C50" s="8" t="str">
        <x:v>23.05_POSEIDON_v46.3_Production_Monitoring_Support_Runbook_TR.docx</x:v>
      </x:c>
      <x:c r="D50" s="8" t="str">
        <x:v>v46.3</x:v>
      </x:c>
      <x:c r="E50" s="8" t="str">
        <x:v>CURRENT-EXECUTION</x:v>
      </x:c>
      <x:c r="F50" s="8" t="str">
        <x:v>P0</x:v>
      </x:c>
      <x:c r="G50" s="8" t="str">
        <x:v>Support, SRE, Engineering, Product</x:v>
      </x:c>
      <x:c r="H50" s="8" t="str">
        <x:v>Canlı operasyon</x:v>
      </x:c>
      <x:c r="I50" s="8" t="str">
        <x:v>Observability, severity, incident, diagnostic pack, problem management.</x:v>
      </x:c>
    </x:row>
    <x:row r="51">
      <x:c r="A51" s="8" t="str">
        <x:v>23.06</x:v>
      </x:c>
      <x:c r="B51" s="8" t="str">
        <x:v>07_TEST_PILOT_RELEASE</x:v>
      </x:c>
      <x:c r="C51" s="8" t="str">
        <x:v>23.06_POSEIDON_v46.3_Security_Privacy_Operational_Pack_TR.docx</x:v>
      </x:c>
      <x:c r="D51" s="8" t="str">
        <x:v>v46.3</x:v>
      </x:c>
      <x:c r="E51" s="8" t="str">
        <x:v>CURRENT-EXECUTION</x:v>
      </x:c>
      <x:c r="F51" s="8" t="str">
        <x:v>P0</x:v>
      </x:c>
      <x:c r="G51" s="8" t="str">
        <x:v>Security, DPO/Privacy, Admin, Engineering</x:v>
      </x:c>
      <x:c r="H51" s="8" t="str">
        <x:v>Canlı security/privacy operasyonu</x:v>
      </x:c>
      <x:c r="I51" s="8" t="str">
        <x:v>IAM, data classification, privacy ops, evidence security, incident ve AI provider controls.</x:v>
      </x:c>
    </x:row>
    <x:row r="52">
      <x:c r="A52" s="8" t="str">
        <x:v>24.01</x:v>
      </x:c>
      <x:c r="B52" s="8" t="str">
        <x:v>08_MANAGEMENT_CONTROL</x:v>
      </x:c>
      <x:c r="C52" s="8" t="str">
        <x:v>24.01_POSEIDON_v46.3_Final_Yonetim_Satis_Teknik_Controlled_Candidate_Sunumu_TR.pptx</x:v>
      </x:c>
      <x:c r="D52" s="8" t="str">
        <x:v>v46.3</x:v>
      </x:c>
      <x:c r="E52" s="8" t="str">
        <x:v>CURRENT-CANONICAL</x:v>
      </x:c>
      <x:c r="F52" s="8" t="str">
        <x:v>P1</x:v>
      </x:c>
      <x:c r="G52" s="8" t="str">
        <x:v>Yönetim, Sales, Presales, Tech</x:v>
      </x:c>
      <x:c r="H52" s="8" t="str">
        <x:v>Özet anlatım</x:v>
      </x:c>
      <x:c r="I52" s="8" t="str">
        <x:v>Güncel yönetim/satış/teknik sunum.</x:v>
      </x:c>
    </x:row>
    <x:row r="53" ht="30" customHeight="1">
      <x:c r="A53" s="8" t="str">
        <x:v>25.01</x:v>
      </x:c>
      <x:c r="B53" s="8" t="str">
        <x:v>08_MANAGEMENT_CONTROL</x:v>
      </x:c>
      <x:c r="C53" s="8" t="str">
        <x:v>25.01_POSEIDON_v46.3_FINALIZATION_EXECUTION_MANIFEST_TR.md</x:v>
      </x:c>
      <x:c r="D53" s="8" t="str">
        <x:v>v46.3</x:v>
      </x:c>
      <x:c r="E53" s="8" t="str">
        <x:v>CURRENT-CANONICAL</x:v>
      </x:c>
      <x:c r="F53" s="8" t="str">
        <x:v>P0</x:v>
      </x:c>
      <x:c r="G53" s="8" t="str">
        <x:v>Product Council, Tech, QA</x:v>
      </x:c>
      <x:c r="H53" s="8" t="str">
        <x:v>Freeze kontrolü</x:v>
      </x:c>
      <x:c r="I53" s="8" t="str">
        <x:v>Controlled Candidate statüsü, açık gate'ler ve artifact manifest. Güncel kapanış ve kabul kanıtları 25.02'de.</x:v>
      </x:c>
    </x:row>
    <x:row r="54">
      <x:c r="A54" s="8" t="str">
        <x:v>90.01</x:v>
      </x:c>
      <x:c r="B54" s="8" t="str">
        <x:v>90_SOURCE_RESEARCH</x:v>
      </x:c>
      <x:c r="C54" s="8" t="str">
        <x:v>90.01_Denizcilik_Yazilimi_Detayli_Rapor_Reference.docx</x:v>
      </x:c>
      <x:c r="D54" s="8" t="str">
        <x:v>Research</x:v>
      </x:c>
      <x:c r="E54" s="8" t="str">
        <x:v>REFERENCE-ONLY</x:v>
      </x:c>
      <x:c r="F54" s="8" t="str">
        <x:v>P2</x:v>
      </x:c>
      <x:c r="G54" s="8" t="str">
        <x:v>PO/BA</x:v>
      </x:c>
      <x:c r="H54" s="8" t="str">
        <x:v>Gerektiğinde</x:v>
      </x:c>
      <x:c r="I54" s="8" t="str">
        <x:v>Discovery/reference; controlled requirement değildir.</x:v>
      </x:c>
    </x:row>
    <x:row r="55">
      <x:c r="A55" s="8" t="str">
        <x:v>90.02</x:v>
      </x:c>
      <x:c r="B55" s="8" t="str">
        <x:v>90_SOURCE_RESEARCH</x:v>
      </x:c>
      <x:c r="C55" s="8" t="str">
        <x:v>90.02_ISM_POSEIDON_Dokumanlari_Reference.zip</x:v>
      </x:c>
      <x:c r="D55" s="8" t="str">
        <x:v>Research</x:v>
      </x:c>
      <x:c r="E55" s="8" t="str">
        <x:v>REFERENCE-ONLY</x:v>
      </x:c>
      <x:c r="F55" s="8" t="str">
        <x:v>P2</x:v>
      </x:c>
      <x:c r="G55" s="8" t="str">
        <x:v>PO/BA, Regulatory</x:v>
      </x:c>
      <x:c r="H55" s="8" t="str">
        <x:v>Gerektiğinde</x:v>
      </x:c>
      <x:c r="I55" s="8" t="str">
        <x:v>ISM kaynak/referans paketi.</x:v>
      </x:c>
    </x:row>
    <x:row r="56">
      <x:c r="A56" s="8" t="str">
        <x:v>99.01</x:v>
      </x:c>
      <x:c r="B56" s="8" t="str">
        <x:v>99_ARCHIVE</x:v>
      </x:c>
      <x:c r="C56" s="8" t="str">
        <x:v>99.01_ARSIV_OKUMA_KURALI.txt</x:v>
      </x:c>
      <x:c r="D56" s="8" t="str">
        <x:v>Archive</x:v>
      </x:c>
      <x:c r="E56" s="8" t="str">
        <x:v>ARCHIVE</x:v>
      </x:c>
      <x:c r="F56" s="8" t="str">
        <x:v>P2</x:v>
      </x:c>
      <x:c r="G56" s="8" t="str">
        <x:v>Tüm ekip</x:v>
      </x:c>
      <x:c r="H56" s="8" t="str">
        <x:v>Sadece geçmiş gerektiğinde</x:v>
      </x:c>
      <x:c r="I56" s="8" t="str">
        <x:v>Eski v46.2/v46.1/1.0 dosyaları current requirement olarak kullanılmaz.</x:v>
      </x:c>
    </x:row>
    <x:row r="57" ht="30" customHeight="1">
      <x:c r="A57" s="18" t="str">
        <x:v>23.07</x:v>
      </x:c>
      <x:c r="B57" s="18" t="str">
        <x:v>07_TEST_PILOT_RELEASE</x:v>
      </x:c>
      <x:c r="C57" s="18" t="str">
        <x:v>23.07_POSEIDON_Contract_Validation.py</x:v>
      </x:c>
      <x:c r="D57" s="18" t="str">
        <x:v>v46.3</x:v>
      </x:c>
      <x:c r="E57" s="18" t="str">
        <x:v>CURRENT-EXECUTION</x:v>
      </x:c>
      <x:c r="F57" s="18" t="str">
        <x:v>P0</x:v>
      </x:c>
      <x:c r="G57" s="18" t="str">
        <x:v>Engineering, QA</x:v>
      </x:c>
      <x:c r="H57" s="18" t="str">
        <x:v>15/16 sonrası; 23.01 ile birlikte</x:v>
      </x:c>
      <x:c r="I57" s="18" t="str">
        <x:v>Tekrarlanabilir statik API/JSON contract doğrulama aracı. Runtime veya release onayı vermez.</x:v>
      </x:c>
    </x:row>
    <x:row r="58" ht="30" customHeight="1">
      <x:c r="A58" s="18" t="str">
        <x:v>23.07</x:v>
      </x:c>
      <x:c r="B58" s="18" t="str">
        <x:v>07_TEST_PILOT_RELEASE</x:v>
      </x:c>
      <x:c r="C58" s="18" t="str">
        <x:v>23.07_POSEIDON_Contract_Validation.json</x:v>
      </x:c>
      <x:c r="D58" s="18" t="str">
        <x:v>v46.3</x:v>
      </x:c>
      <x:c r="E58" s="18" t="str">
        <x:v>CURRENT-EXECUTION</x:v>
      </x:c>
      <x:c r="F58" s="18" t="str">
        <x:v>P0</x:v>
      </x:c>
      <x:c r="G58" s="18" t="str">
        <x:v>Engineering, QA, Architect</x:v>
      </x:c>
      <x:c r="H58" s="18" t="str">
        <x:v>23.07 Python aracı çıktısı</x:v>
      </x:c>
      <x:c r="I58" s="18" t="str">
        <x:v>Statik contract kontrol kanıtı. Çalışan servis, DB ve production güvenlik testi yerine geçmez.</x:v>
      </x:c>
    </x:row>
    <x:row r="59" ht="30" customHeight="1">
      <x:c r="A59" s="18" t="str">
        <x:v>23.08</x:v>
      </x:c>
      <x:c r="B59" s="18" t="str">
        <x:v>07_TEST_PILOT_RELEASE</x:v>
      </x:c>
      <x:c r="C59" s="18" t="str">
        <x:v>23.08_POSEIDON_Prototype_Validation.cjs</x:v>
      </x:c>
      <x:c r="D59" s="18" t="str">
        <x:v>v46.3</x:v>
      </x:c>
      <x:c r="E59" s="18" t="str">
        <x:v>CURRENT-EXECUTION</x:v>
      </x:c>
      <x:c r="F59" s="18" t="str">
        <x:v>P0</x:v>
      </x:c>
      <x:c r="G59" s="18" t="str">
        <x:v>Frontend, UX, QA</x:v>
      </x:c>
      <x:c r="H59" s="18" t="str">
        <x:v>12.01 ile birlikte</x:v>
      </x:c>
      <x:c r="I59" s="18" t="str">
        <x:v>Prototip statik/VM kontrol aracı. Gerçek tarayıcı uçtan uca ve kullanıcı kabul testleri ayrıca gerekir.</x:v>
      </x:c>
    </x:row>
    <x:row r="60" ht="30" customHeight="1">
      <x:c r="A60" s="18" t="str">
        <x:v>23.08</x:v>
      </x:c>
      <x:c r="B60" s="18" t="str">
        <x:v>07_TEST_PILOT_RELEASE</x:v>
      </x:c>
      <x:c r="C60" s="18" t="str">
        <x:v>23.08_POSEIDON_Prototype_Validation.json</x:v>
      </x:c>
      <x:c r="D60" s="18" t="str">
        <x:v>v46.3</x:v>
      </x:c>
      <x:c r="E60" s="18" t="str">
        <x:v>CURRENT-EXECUTION</x:v>
      </x:c>
      <x:c r="F60" s="18" t="str">
        <x:v>P0</x:v>
      </x:c>
      <x:c r="G60" s="18" t="str">
        <x:v>Frontend, UX, QA</x:v>
      </x:c>
      <x:c r="H60" s="18" t="str">
        <x:v>23.08 CJS aracı çıktısı</x:v>
      </x:c>
      <x:c r="I60" s="18" t="str">
        <x:v>Prototip statik/VM kontrol kanıtı. Gerçek cihaz, tarayıcı, backend ve pilot kanıtı değildir.</x:v>
      </x:c>
    </x:row>
    <x:row r="61" ht="30" customHeight="1">
      <x:c r="A61" s="18" t="str">
        <x:v>25.02</x:v>
      </x:c>
      <x:c r="B61" s="18" t="str">
        <x:v>08_MANAGEMENT_CONTROL</x:v>
      </x:c>
      <x:c r="C61" s="18" t="str">
        <x:v>25.02_POSEIDON_v46.3_Eksik_Kapatma_ve_Release_Hazirlik_Raporu_TR.docx</x:v>
      </x:c>
      <x:c r="D61" s="18" t="str">
        <x:v>v46.3</x:v>
      </x:c>
      <x:c r="E61" s="18" t="str">
        <x:v>CURRENT-CANONICAL</x:v>
      </x:c>
      <x:c r="F61" s="18" t="str">
        <x:v>P0</x:v>
      </x:c>
      <x:c r="G61" s="18" t="str">
        <x:v>Product Council, PO, Engineering, QA, SME</x:v>
      </x:c>
      <x:c r="H61" s="18" t="str">
        <x:v>00.01 sonrası; release kararı öncesi</x:v>
      </x:c>
      <x:c r="I61" s="18" t="str">
        <x:v>Controlled Candidate. 49 katalog ve 50 HSE form önerileri eklendi; üretim uygulaması veya tam mevzuat kabulü değil. 151 kaynak dd504 değişmedi.</x:v>
      </x:c>
    </x:row>
    <x:row r="62" ht="30" customHeight="1">
      <x:c r="A62" s="18" t="str">
        <x:v>23.08</x:v>
      </x:c>
      <x:c r="B62" s="18" t="str">
        <x:v>07_TEST_PILOT_RELEASE</x:v>
      </x:c>
      <x:c r="C62" s="18" t="str">
        <x:v>23.08_POSEIDON_Prototype_Validation.py</x:v>
      </x:c>
      <x:c r="D62" s="18" t="str">
        <x:v>v46.3</x:v>
      </x:c>
      <x:c r="E62" s="18" t="str">
        <x:v>CURRENT-EXECUTION</x:v>
      </x:c>
      <x:c r="F62" s="18" t="str">
        <x:v>P0</x:v>
      </x:c>
      <x:c r="G62" s="18" t="str">
        <x:v>Frontend, QA</x:v>
      </x:c>
      <x:c r="H62" s="18" t="str">
        <x:v>23.08 CJS aracı bağımlılığı</x:v>
      </x:c>
      <x:c r="I62" s="18" t="str">
        <x:v>CJS doğrulayıcının çağırdığı canonical XLSX kaynak ayrıştırıcısı. Kaynak envanter kontrolü; runtime veya pilot onayı değildir.</x:v>
      </x:c>
    </x:row>
    <x:row r="63" ht="30" customHeight="1">
      <x:c r="A63" s="18" t="str">
        <x:v>00.03</x:v>
      </x:c>
      <x:c r="B63" s="18" t="str">
        <x:v>00_START_HERE</x:v>
      </x:c>
      <x:c r="C63" s="18" t="str">
        <x:v>00.03_POSEIDON_v46.3_Teslim_Degisiklik_ve_Acik_Kararlar_Ozeti_TR.docx</x:v>
      </x:c>
      <x:c r="D63" s="18" t="str">
        <x:v>v46.3</x:v>
      </x:c>
      <x:c r="E63" s="18" t="str">
        <x:v>CURRENT-CANONICAL</x:v>
      </x:c>
      <x:c r="F63" s="18" t="str">
        <x:v>P0</x:v>
      </x:c>
      <x:c r="G63" s="18" t="str">
        <x:v>Tüm ekip</x:v>
      </x:c>
      <x:c r="H63" s="18" t="str">
        <x:v>00.01 ve 00.02 ile birlikte</x:v>
      </x:c>
      <x:c r="I63" s="18" t="str">
        <x:v>Yeni alan/katalog ve HSE form tasarımları tek pakette. Teknik ve hukuki onaylar açık. Kullanıcı 22:11 Ctrl+C niyetini bildirdi; Stopped teyidi yok.</x:v>
      </x:c>
    </x:row>
    <x:row r="64" ht="60" customHeight="1">
      <x:c r="A64" s="18" t="str">
        <x:v>26.01</x:v>
      </x:c>
      <x:c r="B64" s="18" t="str">
        <x:v>06_DEVELOPMENT</x:v>
      </x:c>
      <x:c r="C64" s="18" t="str">
        <x:v>26.01_POSEIDON_Core_v0.1_Source/README.md</x:v>
      </x:c>
      <x:c r="D64" s="18" t="str">
        <x:v>Core 0.1 / v46.3</x:v>
      </x:c>
      <x:c r="E64" s="18" t="str">
        <x:v>CURRENT-EXECUTION</x:v>
      </x:c>
      <x:c r="F64" s="18" t="str">
        <x:v>P0</x:v>
      </x:c>
      <x:c r="G64" s="18" t="str">
        <x:v>PO/BA, Backend, Frontend, QA</x:v>
      </x:c>
      <x:c r="H64" s="18" t="str">
        <x:v>26.02 ile; son runtime kanıtı 48.01/48.02; 49/50 analiz</x:v>
      </x:c>
      <x:c r="I64" s="18" t="str">
        <x:v>151 kaynak tek kayıt; bu planlama sürümünde tüm kaynak baytları aynı. Proposal-only patch uygulanmadı; katalog seed, combobox, HSE runtime eklenmedi.</x:v>
      </x:c>
    </x:row>
    <x:row r="65" ht="60" customHeight="1">
      <x:c r="A65" s="18" t="str">
        <x:v>26.02</x:v>
      </x:c>
      <x:c r="B65" s="18" t="str">
        <x:v>06_DEVELOPMENT</x:v>
      </x:c>
      <x:c r="C65" s="18" t="str">
        <x:v>26.02_POSEIDON_Core_v0.1_Uygulama_Calistirma_ve_Dogrulama_Rehberi_TR.docx</x:v>
      </x:c>
      <x:c r="D65" s="18" t="str">
        <x:v>Core 0.1 / v46.3</x:v>
      </x:c>
      <x:c r="E65" s="18" t="str">
        <x:v>CURRENT-EXECUTION</x:v>
      </x:c>
      <x:c r="F65" s="18" t="str">
        <x:v>P0</x:v>
      </x:c>
      <x:c r="G65" s="18" t="str">
        <x:v>PO/BA, Backend, Frontend, QA</x:v>
      </x:c>
      <x:c r="H65" s="18" t="str">
        <x:v>26.01 kaynağını çalıştırmadan önce</x:v>
      </x:c>
      <x:c r="I65" s="18" t="str">
        <x:v>49/50 uygulama talimatı değildir. Analiz teslimi kullanıcı UAT beklemez; eski belirsiz yazı/güncelleme güvenlik kapıları ve 48 çalışma koşulları korunur.</x:v>
      </x:c>
    </x:row>
    <x:row r="66" ht="60" customHeight="1">
      <x:c r="A66" s="18" t="str">
        <x:v>27.01</x:v>
      </x:c>
      <x:c r="B66" s="18" t="str">
        <x:v>07_TEST_PILOT_RELEASE</x:v>
      </x:c>
      <x:c r="C66" s="18" t="str">
        <x:v>27.01_POSEIDON_Core_v0.1_Calisma_Zamani_Dogrulama_Raporu_2026-10-27_TR.docx</x:v>
      </x:c>
      <x:c r="D66" s="18" t="str">
        <x:v>Core 0.1 / 2026-10-27</x:v>
      </x:c>
      <x:c r="E66" s="18" t="str">
        <x:v>CURRENT-EXECUTION</x:v>
      </x:c>
      <x:c r="F66" s="18" t="str">
        <x:v>P0</x:v>
      </x:c>
      <x:c r="G66" s="18" t="str">
        <x:v>PO/BA, Backend, Frontend, QA</x:v>
      </x:c>
      <x:c r="H66" s="18" t="str">
        <x:v>26.01/26.02 sonrası; 27.02 ile birlikte</x:v>
      </x:c>
      <x:c r="I66" s="18" t="str">
        <x:v>Sentetik ilk taslak dilimi: backend 37 PASS / 0 SKIP, frontend 33 PASS, typecheck/build PASS, Chromium 12 grup PASS. Tam 196 ekran, üretim veya SME kabulü değildir.</x:v>
      </x:c>
    </x:row>
    <x:row r="67" ht="60" customHeight="1">
      <x:c r="A67" s="18" t="str">
        <x:v>27.02</x:v>
      </x:c>
      <x:c r="B67" s="18" t="str">
        <x:v>07_TEST_PILOT_RELEASE</x:v>
      </x:c>
      <x:c r="C67" s="18" t="str">
        <x:v>27.02_POSEIDON_Core_v0.1_Dogrulama_Kanitlari_2026-10-27.zip</x:v>
      </x:c>
      <x:c r="D67" s="18" t="str">
        <x:v>Core 0.1 / 2026-10-27</x:v>
      </x:c>
      <x:c r="E67" s="18" t="str">
        <x:v>CURRENT-EXECUTION</x:v>
      </x:c>
      <x:c r="F67" s="18" t="str">
        <x:v>P0</x:v>
      </x:c>
      <x:c r="G67" s="18" t="str">
        <x:v>Backend, Frontend, QA</x:v>
      </x:c>
      <x:c r="H67" s="18" t="str">
        <x:v>27.01 raporuyla birlikte</x:v>
      </x:c>
      <x:c r="I67" s="18" t="str">
        <x:v>27.01 kanıt paketi: RAPOR.md, result.json, test günlükleri/TRX, tarayıcı scriptleri ve iki dosyalık fetch receiver düzeltmesi. Test edilen taban fc4c985 + kesin patch; üretim/SME kabulü değildir.</x:v>
      </x:c>
    </x:row>
    <x:row r="68" ht="60" customHeight="1">
      <x:c r="A68" s="18" t="str">
        <x:v>28.01</x:v>
      </x:c>
      <x:c r="B68" s="18" t="str">
        <x:v>07_TEST_PILOT_RELEASE</x:v>
      </x:c>
      <x:c r="C68" s="18" t="str">
        <x:v>28.01_POSEIDON_Core_v0.1_Kimlik_BFF_ve_Responsive_Dogrulama_Raporu_2026-10-27_TR.docx</x:v>
      </x:c>
      <x:c r="D68" s="18" t="str">
        <x:v>Core 0.1 / 2026-10-27</x:v>
      </x:c>
      <x:c r="E68" s="18" t="str">
        <x:v>CURRENT-EXECUTION</x:v>
      </x:c>
      <x:c r="F68" s="18" t="str">
        <x:v>P0</x:v>
      </x:c>
      <x:c r="G68" s="18" t="str">
        <x:v>PO/BA, Backend, Frontend, QA</x:v>
      </x:c>
      <x:c r="H68" s="18" t="str">
        <x:v>26.01/26.02 sonrası; 28.02 ile birlikte</x:v>
      </x:c>
      <x:c r="I68" s="18" t="str">
        <x:v>Kimlik/BFF ve responsive düzeltmeleri: backend 86 PASS/0 SKIP, frontend 35 PASS, Chromium 6 matris PASS. P1 callback kusuru düzeltildi; BFF varsayılan kapalı, UI bağlantısı ve üretim IdP kabulü yok.</x:v>
      </x:c>
    </x:row>
    <x:row r="69" ht="60" customHeight="1">
      <x:c r="A69" s="18" t="str">
        <x:v>28.02</x:v>
      </x:c>
      <x:c r="B69" s="18" t="str">
        <x:v>07_TEST_PILOT_RELEASE</x:v>
      </x:c>
      <x:c r="C69" s="18" t="str">
        <x:v>28.02_POSEIDON_Core_v0.1_Kimlik_BFF_ve_Responsive_Kanitlari_2026-10-27.zip</x:v>
      </x:c>
      <x:c r="D69" s="18" t="str">
        <x:v>Core 0.1 / 2026-10-27</x:v>
      </x:c>
      <x:c r="E69" s="18" t="str">
        <x:v>CURRENT-EXECUTION</x:v>
      </x:c>
      <x:c r="F69" s="18" t="str">
        <x:v>P0</x:v>
      </x:c>
      <x:c r="G69" s="18" t="str">
        <x:v>Backend, Frontend, QA</x:v>
      </x:c>
      <x:c r="H69" s="18" t="str">
        <x:v>28.01 raporuyla birlikte</x:v>
      </x:c>
      <x:c r="I69" s="18" t="str">
        <x:v>69 dosyalık değişmez birleşik kanıt: 57 kaynak dosyası, exact patch, sonuçlar ve P1 öncesi hata kaydı. Test revizyonu 26c190a tabanı + combined.patch; gerçek IdP veya üretim kabulü değildir.</x:v>
      </x:c>
    </x:row>
    <x:row r="70" ht="60" customHeight="1">
      <x:c r="A70" s="18" t="str">
        <x:v>29.01</x:v>
      </x:c>
      <x:c r="B70" s="18" t="str">
        <x:v>07_TEST_PILOT_RELEASE</x:v>
      </x:c>
      <x:c r="C70" s="18" t="str">
        <x:v>29.01_POSEIDON_Core_v0.1_BFF_UI_Oturum_ve_Taslak_Dogrulama_Raporu_2026-10-27_TR.docx</x:v>
      </x:c>
      <x:c r="D70" s="18" t="str">
        <x:v>Core 0.1 / 2026-10-27</x:v>
      </x:c>
      <x:c r="E70" s="18" t="str">
        <x:v>CURRENT-EXECUTION</x:v>
      </x:c>
      <x:c r="F70" s="18" t="str">
        <x:v>P0</x:v>
      </x:c>
      <x:c r="G70" s="18" t="str">
        <x:v>PO/BA, Backend, Frontend, QA</x:v>
      </x:c>
      <x:c r="H70" s="18" t="str">
        <x:v>26.01/26.02 sonrası; 29.02 ile birlikte</x:v>
      </x:c>
      <x:c r="I70" s="18" t="str">
        <x:v>BFF UI oturum/taslak dilimi: backend 92 PASS/0 SKIP, frontend 47 PASS, 6 viewport ve TR/EN BFF browser PASS. P2 logout scope kusuru düzeltildi. Browser transport relay kullanır; native TLS/dış IdP/üretim kabulü yok.</x:v>
      </x:c>
    </x:row>
    <x:row r="71" ht="60" customHeight="1">
      <x:c r="A71" s="18" t="str">
        <x:v>29.02</x:v>
      </x:c>
      <x:c r="B71" s="18" t="str">
        <x:v>07_TEST_PILOT_RELEASE</x:v>
      </x:c>
      <x:c r="C71" s="18" t="str">
        <x:v>29.02_POSEIDON_Core_v0.1_BFF_UI_Oturum_ve_Taslak_Kanitlari_2026-10-27.zip</x:v>
      </x:c>
      <x:c r="D71" s="18" t="str">
        <x:v>Core 0.1 / 2026-10-27</x:v>
      </x:c>
      <x:c r="E71" s="18" t="str">
        <x:v>CURRENT-EXECUTION</x:v>
      </x:c>
      <x:c r="F71" s="18" t="str">
        <x:v>P0</x:v>
      </x:c>
      <x:c r="G71" s="18" t="str">
        <x:v>Backend, Frontend, QA</x:v>
      </x:c>
      <x:c r="H71" s="18" t="str">
        <x:v>29.01 raporuyla birlikte</x:v>
      </x:c>
      <x:c r="I71" s="18" t="str">
        <x:v>62 kaynak dosyası, exact BFF UI patch, test/build ve browser kanıtı. Test revizyonu ad440763 tabanı + bff-ui.patch. Sunucu ve UI opt-in varsayılan kapalı; canlı IdP/production altyapısı açık.</x:v>
      </x:c>
    </x:row>
    <x:row r="72" ht="60" customHeight="1">
      <x:c r="A72" s="18" t="str">
        <x:v>30.01</x:v>
      </x:c>
      <x:c r="B72" s="18" t="str">
        <x:v>08_MANAGEMENT_CONTROL</x:v>
      </x:c>
      <x:c r="C72" s="18" t="str">
        <x:v>30.01_POSEIDON_v46.3_Tam_Urun_2027_Q3_Q4_Teslim_Yol_Haritasi_TR.docx</x:v>
      </x:c>
      <x:c r="D72" s="18" t="str">
        <x:v>Plan / 2026-10-27</x:v>
      </x:c>
      <x:c r="E72" s="18" t="str">
        <x:v>CURRENT-ANALYSIS</x:v>
      </x:c>
      <x:c r="F72" s="18" t="str">
        <x:v>P0</x:v>
      </x:c>
      <x:c r="G72" s="18" t="str">
        <x:v>PO/BA, Engineering, QA, Marine/Tug SME, Release</x:v>
      </x:c>
      <x:c r="H72" s="18" t="str">
        <x:v>00.03 ve 25.02 sonrası; tam ürün planı</x:v>
      </x:c>
      <x:c r="I72" s="18" t="str">
        <x:v>2027 Q3/Q4 koşullu hedefi; tam kapsam, kaynak varsayımları, ilk dört hafta ve Esra modül kabulü. Tam ürün önce, üç müşteri adayı pilotu sonra. Plan; yürütme, mevzuat veya satış onayı değildir.</x:v>
      </x:c>
    </x:row>
    <x:row r="73" ht="60" customHeight="1">
      <x:c r="A73" s="18" t="str">
        <x:v>31.01</x:v>
      </x:c>
      <x:c r="B73" s="18" t="str">
        <x:v>07_TEST_PILOT_RELEASE</x:v>
      </x:c>
      <x:c r="C73" s="18" t="str">
        <x:v>31.01_POSEIDON_Core_v0.1_Kismi_Envanter_Tarama_ve_Sayfalama_Dogrulama_Raporu_2026-10-27_TR.docx</x:v>
      </x:c>
      <x:c r="D73" s="18" t="str">
        <x:v>Core 0.1 / 2026-10-27</x:v>
      </x:c>
      <x:c r="E73" s="18" t="str">
        <x:v>CURRENT-EXECUTION</x:v>
      </x:c>
      <x:c r="F73" s="18" t="str">
        <x:v>P0</x:v>
      </x:c>
      <x:c r="G73" s="18" t="str">
        <x:v>PO/BA, Backend, Frontend, QA</x:v>
      </x:c>
      <x:c r="H73" s="18" t="str">
        <x:v>26.01/26.02 sonrası; 31.02 ile birlikte</x:v>
      </x:c>
      <x:c r="I73" s="18" t="str">
        <x:v>Kısmi envanter arama/filtre/sayfalama; 103 backend, 53 frontend ve browser kanıtı. Varsayılan 50; ASCII arama; snapshot yok. Tam modül değil; Esra UAT ve özel erişim bekliyor.</x:v>
      </x:c>
    </x:row>
    <x:row r="74" ht="60" customHeight="1">
      <x:c r="A74" s="18" t="str">
        <x:v>31.02</x:v>
      </x:c>
      <x:c r="B74" s="18" t="str">
        <x:v>07_TEST_PILOT_RELEASE</x:v>
      </x:c>
      <x:c r="C74" s="18" t="str">
        <x:v>31.02_POSEIDON_Core_v0.1_Kismi_Envanter_Tarama_ve_Sayfalama_Kanitlari_2026-10-27.zip</x:v>
      </x:c>
      <x:c r="D74" s="18" t="str">
        <x:v>Core 0.1 / 2026-10-27</x:v>
      </x:c>
      <x:c r="E74" s="18" t="str">
        <x:v>CURRENT-EXECUTION</x:v>
      </x:c>
      <x:c r="F74" s="18" t="str">
        <x:v>P0</x:v>
      </x:c>
      <x:c r="G74" s="18" t="str">
        <x:v>Backend, Frontend, QA</x:v>
      </x:c>
      <x:c r="H74" s="18" t="str">
        <x:v>31.01 raporuyla birlikte</x:v>
      </x:c>
      <x:c r="I74" s="18" t="str">
        <x:v>80 dosyalık değişmez kanıt ZIP’i; 67 kaynak, exact inventory-browsing.patch, manifest, test/build/browser sonuçları. Native TLS, canlı IdP ve production performans kabulü değildir.</x:v>
      </x:c>
    </x:row>
    <x:row r="75" ht="60" customHeight="1">
      <x:c r="A75" s="18" t="str">
        <x:v>32.01</x:v>
      </x:c>
      <x:c r="B75" s="18" t="str">
        <x:v>07_TEST_PILOT_RELEASE</x:v>
      </x:c>
      <x:c r="C75" s="18" t="str">
        <x:v>32.01_POSEIDON_Core_v0.1_Idari_Gemi_Romorkor_Envanteri_Dogrulama_Raporu_2026-10-27_TR.docx</x:v>
      </x:c>
      <x:c r="D75" s="18" t="str">
        <x:v>Core 0.1 / 2026-10-27</x:v>
      </x:c>
      <x:c r="E75" s="18" t="str">
        <x:v>CURRENT-EXECUTION</x:v>
      </x:c>
      <x:c r="F75" s="18" t="str">
        <x:v>P0</x:v>
      </x:c>
      <x:c r="G75" s="18" t="str">
        <x:v>PO/BA, Backend, Frontend, QA</x:v>
      </x:c>
      <x:c r="H75" s="18" t="str">
        <x:v>26.01/26.02 sonrası; 32.02 ile birlikte</x:v>
      </x:c>
      <x:c r="I75" s="18" t="str">
        <x:v>İdari DRAFT/RECORDED, metadata, reopen ve dar tarihçe. 129 backend, 74 frontend; iki ayrı altılı browser matrisi. Esra UAT ve özel erişim bekliyor; operasyonel onay değil.</x:v>
      </x:c>
    </x:row>
    <x:row r="76" ht="60" customHeight="1">
      <x:c r="A76" s="18" t="str">
        <x:v>32.02</x:v>
      </x:c>
      <x:c r="B76" s="18" t="str">
        <x:v>07_TEST_PILOT_RELEASE</x:v>
      </x:c>
      <x:c r="C76" s="18" t="str">
        <x:v>32.02_POSEIDON_Core_v0.1_Idari_Gemi_Romorkor_Envanteri_Kanitlari_2026-10-27.zip</x:v>
      </x:c>
      <x:c r="D76" s="18" t="str">
        <x:v>Core 0.1 / 2026-10-27</x:v>
      </x:c>
      <x:c r="E76" s="18" t="str">
        <x:v>CURRENT-EXECUTION</x:v>
      </x:c>
      <x:c r="F76" s="18" t="str">
        <x:v>P0</x:v>
      </x:c>
      <x:c r="G76" s="18" t="str">
        <x:v>Backend, Frontend, QA</x:v>
      </x:c>
      <x:c r="H76" s="18" t="str">
        <x:v>32.01 raporuyla birlikte</x:v>
      </x:c>
      <x:c r="I76" s="18" t="str">
        <x:v>99 dosyalık değişmez kanıt ZIP’i; 83 kaynak, inventory-admin.patch, manifest ve test sonuçları. Migration 002 sentetik DB’de testli; native TLS, canlı IdP ve üretim kabulü değildir.</x:v>
      </x:c>
    </x:row>
    <x:row r="77" ht="60" customHeight="1">
      <x:c r="A77" s="18" t="str">
        <x:v>33.01</x:v>
      </x:c>
      <x:c r="B77" s="18" t="str">
        <x:v>07_TEST_PILOT_RELEASE</x:v>
      </x:c>
      <x:c r="C77" s="18" t="str">
        <x:v>33.01_POSEIDON_Core_v0.1_Idari_Belge_Kayitlari_ve_Tarih_Takibi_Dogrulama_Raporu_2026-10-27_TR.docx</x:v>
      </x:c>
      <x:c r="D77" s="18" t="str">
        <x:v>Core 0.1 / 2026-10-27</x:v>
      </x:c>
      <x:c r="E77" s="18" t="str">
        <x:v>CURRENT-EXECUTION</x:v>
      </x:c>
      <x:c r="F77" s="18" t="str">
        <x:v>P0</x:v>
      </x:c>
      <x:c r="G77" s="18" t="str">
        <x:v>PO/BA, Backend, Frontend, QA</x:v>
      </x:c>
      <x:c r="H77" s="18" t="str">
        <x:v>26.01/26.02 sonrası; 33.02 ile birlikte</x:v>
      </x:c>
      <x:c r="I77" s="18" t="str">
        <x:v>İdari belge DRAFT/RECORDED, girilen tarih takibi; 139 backend, 92 frontend ve iki altılı browser matrisi. Tam sertifika/sörvey değil; G1–G7, Esra UAT ve özel erişim açık.</x:v>
      </x:c>
    </x:row>
    <x:row r="78" ht="60" customHeight="1">
      <x:c r="A78" s="18" t="str">
        <x:v>33.02</x:v>
      </x:c>
      <x:c r="B78" s="18" t="str">
        <x:v>07_TEST_PILOT_RELEASE</x:v>
      </x:c>
      <x:c r="C78" s="18" t="str">
        <x:v>33.02_POSEIDON_Core_v0.1_Idari_Belge_Kayitlari_ve_Tarih_Takibi_Kanitlari_2026-10-27.zip</x:v>
      </x:c>
      <x:c r="D78" s="18" t="str">
        <x:v>Core 0.1 / 2026-10-27</x:v>
      </x:c>
      <x:c r="E78" s="18" t="str">
        <x:v>CURRENT-EXECUTION</x:v>
      </x:c>
      <x:c r="F78" s="18" t="str">
        <x:v>P0</x:v>
      </x:c>
      <x:c r="G78" s="18" t="str">
        <x:v>Backend, Frontend, QA</x:v>
      </x:c>
      <x:c r="H78" s="18" t="str">
        <x:v>33.01 raporuyla birlikte</x:v>
      </x:c>
      <x:c r="I78" s="18" t="str">
        <x:v>115 dosyalık değişmez kanıt ZIP’i; 99 kaynak, certificate-admin.patch, manifest ve test sonuçları. 003 migration, UTC tarih bağlamı; native TLS, canlı IdP ve kullanıcı kabulü değildir.</x:v>
      </x:c>
    </x:row>
    <x:row r="79" ht="60" customHeight="1">
      <x:c r="A79" s="18" t="str">
        <x:v>34.01</x:v>
      </x:c>
      <x:c r="B79" s="18" t="str">
        <x:v>07_TEST_PILOT_RELEASE</x:v>
      </x:c>
      <x:c r="C79" s="18" t="str">
        <x:v>34.01_POSEIDON_Core_v0.1_Karantinali_Ek_Alimi_Dogrulama_Raporu_2026-10-27_TR.docx</x:v>
      </x:c>
      <x:c r="D79" s="18" t="str">
        <x:v>Core 0.1 / 2026-10-27</x:v>
      </x:c>
      <x:c r="E79" s="18" t="str">
        <x:v>CURRENT-EXECUTION</x:v>
      </x:c>
      <x:c r="F79" s="18" t="str">
        <x:v>P0</x:v>
      </x:c>
      <x:c r="G79" s="18" t="str">
        <x:v>PO/BA, Backend, Frontend, QA</x:v>
      </x:c>
      <x:c r="H79" s="18" t="str">
        <x:v>26.01/26.02 sonrası; 34.02 ile birlikte</x:v>
      </x:c>
      <x:c r="I79" s="18" t="str">
        <x:v>Varsayılan kapalı karantinalı ek alımı; 161 backend, 103 frontend ve iki altılı browser matrisi. Scanner/kullanım, otomatik kesinti kurtarma/temizleme yok; Esra UAT ve özel erişim açık.</x:v>
      </x:c>
    </x:row>
    <x:row r="80" ht="60" customHeight="1">
      <x:c r="A80" s="18" t="str">
        <x:v>34.02</x:v>
      </x:c>
      <x:c r="B80" s="18" t="str">
        <x:v>07_TEST_PILOT_RELEASE</x:v>
      </x:c>
      <x:c r="C80" s="18" t="str">
        <x:v>34.02_POSEIDON_Core_v0.1_Karantinali_Ek_Alimi_Kanitlari_2026-10-27.zip</x:v>
      </x:c>
      <x:c r="D80" s="18" t="str">
        <x:v>Core 0.1 / 2026-10-27</x:v>
      </x:c>
      <x:c r="E80" s="18" t="str">
        <x:v>CURRENT-EXECUTION</x:v>
      </x:c>
      <x:c r="F80" s="18" t="str">
        <x:v>P0</x:v>
      </x:c>
      <x:c r="G80" s="18" t="str">
        <x:v>Backend, Frontend, QA</x:v>
      </x:c>
      <x:c r="H80" s="18" t="str">
        <x:v>34.01 raporuyla birlikte</x:v>
      </x:c>
      <x:c r="I80" s="18" t="str">
        <x:v>128 dosyalık değişmez kanıt ZIP’i; 112 kaynak, evidence-intake.patch, manifest ve test sonuçları. İzole hata/restore kanıtı; üretim storage/DR, native TLS ve kullanıcı kabulü değildir.</x:v>
      </x:c>
    </x:row>
    <x:row r="81" ht="60" customHeight="1">
      <x:c r="A81" s="18" t="str">
        <x:v>35.01</x:v>
      </x:c>
      <x:c r="B81" s="18" t="str">
        <x:v>07_TEST_PILOT_RELEASE</x:v>
      </x:c>
      <x:c r="C81" s="18" t="str">
        <x:v>35.01_POSEIDON_Core_v0.1_Sentetik_Restore_Provasi_Dogrulama_Raporu_2026-10-27_TR.docx</x:v>
      </x:c>
      <x:c r="D81" s="18" t="str">
        <x:v>Core 0.1 / 2026-10-27</x:v>
      </x:c>
      <x:c r="E81" s="18" t="str">
        <x:v>CURRENT-EXECUTION</x:v>
      </x:c>
      <x:c r="F81" s="18" t="str">
        <x:v>P0</x:v>
      </x:c>
      <x:c r="G81" s="18" t="str">
        <x:v>PO/BA, Backend, Frontend, QA</x:v>
      </x:c>
      <x:c r="H81" s="18" t="str">
        <x:v>26.01/26.02 sonrası; 35.02 ile birlikte</x:v>
      </x:c>
      <x:c r="I81" s="18" t="str">
        <x:v>Aynı host sentetik mantıksal restore: 7 güvenlik testi, 11 kontrol grubu; 112 ürün dosyası aynı. Off-site/üretim DR ve RPO/RTO kabulü değil; özel erişim ve Esra UAT açık.</x:v>
      </x:c>
    </x:row>
    <x:row r="82" ht="60" customHeight="1">
      <x:c r="A82" s="18" t="str">
        <x:v>35.02</x:v>
      </x:c>
      <x:c r="B82" s="18" t="str">
        <x:v>07_TEST_PILOT_RELEASE</x:v>
      </x:c>
      <x:c r="C82" s="18" t="str">
        <x:v>35.02_POSEIDON_Core_v0.1_Sentetik_Restore_Provasi_Kanitlari_2026-10-27.zip</x:v>
      </x:c>
      <x:c r="D82" s="18" t="str">
        <x:v>Core 0.1 / 2026-10-27</x:v>
      </x:c>
      <x:c r="E82" s="18" t="str">
        <x:v>CURRENT-EXECUTION</x:v>
      </x:c>
      <x:c r="F82" s="18" t="str">
        <x:v>P0</x:v>
      </x:c>
      <x:c r="G82" s="18" t="str">
        <x:v>Backend, Frontend, QA</x:v>
      </x:c>
      <x:c r="H82" s="18" t="str">
        <x:v>35.01 raporuyla birlikte</x:v>
      </x:c>
      <x:c r="I82" s="18" t="str">
        <x:v>13 girdilik değişmez kanıt ZIP’i; 3 ek betik/belge, 112 taban hash’i, yama ve 86 komut/202 HTTP kaydı. Yerel endpoint doğrulandı; tam regresyon tekrar koşulmadı.</x:v>
      </x:c>
    </x:row>
    <x:row r="83" ht="60" customHeight="1">
      <x:c r="A83" s="18" t="str">
        <x:v>36.01</x:v>
      </x:c>
      <x:c r="B83" s="18" t="str">
        <x:v>07_TEST_PILOT_RELEASE</x:v>
      </x:c>
      <x:c r="C83" s="18" t="str">
        <x:v>36.01_POSEIDON_Core_v0.1_Ozel_Codespaces_Hazirligi_Dogrulama_Raporu_2026-10-28_TR.docx</x:v>
      </x:c>
      <x:c r="D83" s="18" t="str">
        <x:v>Core 0.1 / 2026-10-28</x:v>
      </x:c>
      <x:c r="E83" s="18" t="str">
        <x:v>CURRENT-EXECUTION</x:v>
      </x:c>
      <x:c r="F83" s="18" t="str">
        <x:v>P0</x:v>
      </x:c>
      <x:c r="G83" s="18" t="str">
        <x:v>PO/BA, Backend, Frontend, QA</x:v>
      </x:c>
      <x:c r="H83" s="18" t="str">
        <x:v>26.01/26.02 sonrası; 36.02 ile birlikte</x:v>
      </x:c>
      <x:c r="I83" s="18" t="str">
        <x:v>Özel Codespaces hazırlık adayı; 27 bağımsız offline kontrol, taşınan 176/103 ve iki 6/6 kanıtı. Temiz Docker/NuGet başlangıcı başarısız; gerçek URL/cihaz/UAT açık.</x:v>
      </x:c>
    </x:row>
    <x:row r="84" ht="60" customHeight="1">
      <x:c r="A84" s="18" t="str">
        <x:v>36.02</x:v>
      </x:c>
      <x:c r="B84" s="18" t="str">
        <x:v>07_TEST_PILOT_RELEASE</x:v>
      </x:c>
      <x:c r="C84" s="18" t="str">
        <x:v>36.02_POSEIDON_Core_v0.1_Ozel_Codespaces_Hazirligi_Kanitlari_2026-10-28.zip</x:v>
      </x:c>
      <x:c r="D84" s="18" t="str">
        <x:v>Core 0.1 / 2026-10-28</x:v>
      </x:c>
      <x:c r="E84" s="18" t="str">
        <x:v>CURRENT-EXECUTION</x:v>
      </x:c>
      <x:c r="F84" s="18" t="str">
        <x:v>P0</x:v>
      </x:c>
      <x:c r="G84" s="18" t="str">
        <x:v>Backend, Frontend, QA</x:v>
      </x:c>
      <x:c r="H84" s="18" t="str">
        <x:v>36.01 raporuyla birlikte</x:v>
      </x:c>
      <x:c r="I84" s="18" t="str">
        <x:v>150 girdilik değişmez kanıt ZIP’i; 128 kaynak, yama ve sanitize sonuçlar. 176/103/browser v2’den taşınır; 27 offline ve yerel PG lifecycle kanıtı. Gerçek Codespace yok.</x:v>
      </x:c>
    </x:row>
    <x:row r="85" ht="60" customHeight="1">
      <x:c r="A85" s="18" t="str">
        <x:v>37.01</x:v>
      </x:c>
      <x:c r="B85" s="18" t="str">
        <x:v>07_TEST_PILOT_RELEASE</x:v>
      </x:c>
      <x:c r="C85" s="18" t="str">
        <x:v>37.01_POSEIDON_Core_v0.1_Npm_Yapilandirma_Duzeltmesi_Dogrulama_Raporu_2026-10-28_TR.docx</x:v>
      </x:c>
      <x:c r="D85" s="18" t="str">
        <x:v>Core 0.1 / 2026-10-28</x:v>
      </x:c>
      <x:c r="E85" s="18" t="str">
        <x:v>CURRENT-EXECUTION</x:v>
      </x:c>
      <x:c r="F85" s="18" t="str">
        <x:v>P0</x:v>
      </x:c>
      <x:c r="G85" s="18" t="str">
        <x:v>PO/BA, Backend, Frontend, QA</x:v>
      </x:c>
      <x:c r="H85" s="18" t="str">
        <x:v>26.01/26.02 sonrası; 37.02 ile birlikte</x:v>
      </x:c>
      <x:c r="I85" s="18" t="str">
        <x:v>npm config çakışması düzeltmesi; üretici 30, bağımsız 29 kurulum yapmayan test. 103 frontend ve UAT build PASS. Mevcut Codespace tam başlangıç/URL/UAT henüz doğrulanmadı.</x:v>
      </x:c>
    </x:row>
    <x:row r="86" ht="60" customHeight="1">
      <x:c r="A86" s="18" t="str">
        <x:v>37.02</x:v>
      </x:c>
      <x:c r="B86" s="18" t="str">
        <x:v>07_TEST_PILOT_RELEASE</x:v>
      </x:c>
      <x:c r="C86" s="18" t="str">
        <x:v>37.02_POSEIDON_Core_v0.1_Npm_Yapilandirma_Duzeltmesi_Kanitlari_2026-10-28.zip</x:v>
      </x:c>
      <x:c r="D86" s="18" t="str">
        <x:v>Core 0.1 / 2026-10-28</x:v>
      </x:c>
      <x:c r="E86" s="18" t="str">
        <x:v>CURRENT-EXECUTION</x:v>
      </x:c>
      <x:c r="F86" s="18" t="str">
        <x:v>P0</x:v>
      </x:c>
      <x:c r="G86" s="18" t="str">
        <x:v>Backend, Frontend, QA</x:v>
      </x:c>
      <x:c r="H86" s="18" t="str">
        <x:v>37.01 raporuyla birlikte</x:v>
      </x:c>
      <x:c r="I86" s="18" t="str">
        <x:v>147 girdilik değişmez kanıt ZIP’i; 131 kaynak, yama ve gerçek npm sonuçları. 133 paket kurulumu onaylı cache ile; backend/browser tekrar koşulmadı, clean-start kabulü değil.</x:v>
      </x:c>
    </x:row>
    <x:row r="87" ht="60" customHeight="1">
      <x:c r="A87" s="18" t="str">
        <x:v>38.01</x:v>
      </x:c>
      <x:c r="B87" s="18" t="str">
        <x:v>07_TEST_PILOT_RELEASE</x:v>
      </x:c>
      <x:c r="C87" s="18" t="str">
        <x:v>38.01_POSEIDON_Core_v0.1_Codespaces_Host_Uyumu_Dogrulama_Raporu_2026-10-28_TR.docx</x:v>
      </x:c>
      <x:c r="D87" s="18" t="str">
        <x:v>Core 0.1 / 2026-10-28</x:v>
      </x:c>
      <x:c r="E87" s="18" t="str">
        <x:v>CURRENT-EXECUTION</x:v>
      </x:c>
      <x:c r="F87" s="18" t="str">
        <x:v>P0</x:v>
      </x:c>
      <x:c r="G87" s="18" t="str">
        <x:v>PO/BA, Backend, Frontend, QA</x:v>
      </x:c>
      <x:c r="H87" s="18" t="str">
        <x:v>26.01/26.02 sonrası; 38.02 ile birlikte</x:v>
      </x:c>
      <x:c r="I87" s="18" t="str">
        <x:v>Dar Codespaces Host uyumu; üretici 187 backend, 103 frontend ve iki 6/6 tarayıcı matrisi. Gerçek host düzeltmesi retesti ve Esra UAT bekliyor.</x:v>
      </x:c>
    </x:row>
    <x:row r="88" ht="60" customHeight="1">
      <x:c r="A88" s="18" t="str">
        <x:v>38.02</x:v>
      </x:c>
      <x:c r="B88" s="18" t="str">
        <x:v>07_TEST_PILOT_RELEASE</x:v>
      </x:c>
      <x:c r="C88" s="18" t="str">
        <x:v>38.02_POSEIDON_Core_v0.1_Codespaces_Host_Uyumu_Kanitlari_2026-10-28.zip</x:v>
      </x:c>
      <x:c r="D88" s="18" t="str">
        <x:v>Core 0.1 / 2026-10-28</x:v>
      </x:c>
      <x:c r="E88" s="18" t="str">
        <x:v>CURRENT-EXECUTION</x:v>
      </x:c>
      <x:c r="F88" s="18" t="str">
        <x:v>P0</x:v>
      </x:c>
      <x:c r="G88" s="18" t="str">
        <x:v>Backend, Frontend, QA</x:v>
      </x:c>
      <x:c r="H88" s="18" t="str">
        <x:v>38.01 raporuyla birlikte</x:v>
      </x:c>
      <x:c r="I88" s="18" t="str">
        <x:v>148 girdilik değişmez kanıt ZIP’i; 131 kaynak, 4 mevcut değişiklik ve 147 payload hash’i. İlk başarısızlıklar korunur; HTTPS/proxy emülasyonu gerçek Codespaces kabulü değildir.</x:v>
      </x:c>
    </x:row>
    <x:row r="89" ht="60" customHeight="1">
      <x:c r="A89" s="18" t="str">
        <x:v>39.01</x:v>
      </x:c>
      <x:c r="B89" s="18" t="str">
        <x:v>07_TEST_PILOT_RELEASE</x:v>
      </x:c>
      <x:c r="C89" s="18" t="str">
        <x:v>39.01_POSEIDON_Core_v0.1_Supervisor_Kilit_Yasam_Dongusu_Dogrulama_Raporu_2026-10-28_TR.docx</x:v>
      </x:c>
      <x:c r="D89" s="18" t="str">
        <x:v>Core 0.1 / 2026-10-28</x:v>
      </x:c>
      <x:c r="E89" s="18" t="str">
        <x:v>CURRENT-EXECUTION</x:v>
      </x:c>
      <x:c r="F89" s="18" t="str">
        <x:v>P0</x:v>
      </x:c>
      <x:c r="G89" s="18" t="str">
        <x:v>PO/BA, Backend, Frontend, QA</x:v>
      </x:c>
      <x:c r="H89" s="18" t="str">
        <x:v>26.01/26.02 sonrası; 39.02 ile birlikte</x:v>
      </x:c>
      <x:c r="I89" s="18" t="str">
        <x:v>Supervisor kilit ömrü düzeltmesi; üretici 34 startup, bağımsız 33 offline PASS. 187/103 ve browser 38’den taşınır. Gerçek başlangıç cleanup PID uyuşmazlığıyla BLOCKED; Esra UAT bekliyor.</x:v>
      </x:c>
    </x:row>
    <x:row r="90" ht="60" customHeight="1">
      <x:c r="A90" s="18" t="str">
        <x:v>39.02</x:v>
      </x:c>
      <x:c r="B90" s="18" t="str">
        <x:v>07_TEST_PILOT_RELEASE</x:v>
      </x:c>
      <x:c r="C90" s="18" t="str">
        <x:v>39.02_POSEIDON_Core_v0.1_Supervisor_Kilit_Yasam_Dongusu_Kanitlari_2026-10-28.zip</x:v>
      </x:c>
      <x:c r="D90" s="18" t="str">
        <x:v>Core 0.1 / 2026-10-28</x:v>
      </x:c>
      <x:c r="E90" s="18" t="str">
        <x:v>CURRENT-EXECUTION</x:v>
      </x:c>
      <x:c r="F90" s="18" t="str">
        <x:v>P0</x:v>
      </x:c>
      <x:c r="G90" s="18" t="str">
        <x:v>Backend, Frontend, QA</x:v>
      </x:c>
      <x:c r="H90" s="18" t="str">
        <x:v>39.01 raporuyla birlikte</x:v>
      </x:c>
      <x:c r="I90" s="18" t="str">
        <x:v>138 girdilik değişmez kanıt ZIP’i; 132 kaynak ve 137 payload hash’i. Eski 3 FAIL +1 ERROR tekrarlandı; ürün/browser tekrar koşulmadı. Gerçek kilit sahibi/400 çözümü kabulü değil.</x:v>
      </x:c>
    </x:row>
    <x:row r="91" ht="60" customHeight="1">
      <x:c r="A91" s="18" t="str">
        <x:v>40.01</x:v>
      </x:c>
      <x:c r="B91" s="18" t="str">
        <x:v>07_TEST_PILOT_RELEASE</x:v>
      </x:c>
      <x:c r="C91" s="18" t="str">
        <x:v>40.01_POSEIDON_Core_v0.1_Salt_Okunur_Tanilama_Dogrulama_Raporu_2026-10-28_TR.docx</x:v>
      </x:c>
      <x:c r="D91" s="18" t="str">
        <x:v>Core 0.1 / 2026-10-28</x:v>
      </x:c>
      <x:c r="E91" s="18" t="str">
        <x:v>CURRENT-EXECUTION</x:v>
      </x:c>
      <x:c r="F91" s="18" t="str">
        <x:v>P0</x:v>
      </x:c>
      <x:c r="G91" s="18" t="str">
        <x:v>PO/BA, Backend, Frontend, QA</x:v>
      </x:c>
      <x:c r="H91" s="18" t="str">
        <x:v>26.01/26.02 sonrası; 40.02 ile birlikte</x:v>
      </x:c>
      <x:c r="I91" s="18" t="str">
        <x:v>Salt-okunur tanı adayı: üretici 52, bağımsız 36 PASS; 15 test AF_UNIX fixture EPERM nedeniyle koşulamadı. MATCH durdurma yetkisi değil; gerçek PID/browser/UAT açık.</x:v>
      </x:c>
    </x:row>
    <x:row r="92" ht="60" customHeight="1">
      <x:c r="A92" s="18" t="str">
        <x:v>40.02</x:v>
      </x:c>
      <x:c r="B92" s="18" t="str">
        <x:v>07_TEST_PILOT_RELEASE</x:v>
      </x:c>
      <x:c r="C92" s="18" t="str">
        <x:v>40.02_POSEIDON_Core_v0.1_Salt_Okunur_Tanilama_Kanitlari_2026-10-28.zip</x:v>
      </x:c>
      <x:c r="D92" s="18" t="str">
        <x:v>Core 0.1 / 2026-10-28</x:v>
      </x:c>
      <x:c r="E92" s="18" t="str">
        <x:v>CURRENT-EXECUTION</x:v>
      </x:c>
      <x:c r="F92" s="18" t="str">
        <x:v>P0</x:v>
      </x:c>
      <x:c r="G92" s="18" t="str">
        <x:v>Backend, Frontend, QA</x:v>
      </x:c>
      <x:c r="H92" s="18" t="str">
        <x:v>40.01 raporuyla birlikte</x:v>
      </x:c>
      <x:c r="I92" s="18" t="str">
        <x:v>4 girdilik birleşik kanıt: özgün v7 ve v8 ZIP’leri, README ve manifest. Güncel v8: 135 kaynak/144 payload hash’i. Ürün/browser sonuçları taşınır, tekrar koşulmadı.</x:v>
      </x:c>
    </x:row>
    <x:row r="93" ht="60" customHeight="1">
      <x:c r="A93" s="18" t="str">
        <x:v>41.01</x:v>
      </x:c>
      <x:c r="B93" s="18" t="str">
        <x:v>07_TEST_PILOT_RELEASE</x:v>
      </x:c>
      <x:c r="C93" s="18" t="str">
        <x:v>41.01_POSEIDON_Core_v0.1_Tanilama_Neden_Kodu_ve_Peer_Kimligi_Dogrulama_Raporu_2026-10-28_TR.docx</x:v>
      </x:c>
      <x:c r="D93" s="18" t="str">
        <x:v>Core 0.1 / 2026-10-28</x:v>
      </x:c>
      <x:c r="E93" s="18" t="str">
        <x:v>CURRENT-EXECUTION</x:v>
      </x:c>
      <x:c r="F93" s="18" t="str">
        <x:v>P0</x:v>
      </x:c>
      <x:c r="G93" s="18" t="str">
        <x:v>PO/BA, Backend, Frontend, QA</x:v>
      </x:c>
      <x:c r="H93" s="18" t="str">
        <x:v>26.01/26.02 sonrası; 41.02 ile birlikte</x:v>
      </x:c>
      <x:c r="I93" s="18" t="str">
        <x:v>Tanı düzeltmesi: ayrı startup fazlarının zaman eşitliği yerine kernel peer PID/UID. Üretici 61; bağımsız inceleme 41.01’de ayrı. Gerçek sahiplik, PID/browser ve UAT açık.</x:v>
      </x:c>
    </x:row>
    <x:row r="94" ht="60" customHeight="1">
      <x:c r="A94" s="18" t="str">
        <x:v>41.02</x:v>
      </x:c>
      <x:c r="B94" s="18" t="str">
        <x:v>07_TEST_PILOT_RELEASE</x:v>
      </x:c>
      <x:c r="C94" s="18" t="str">
        <x:v>41.02_POSEIDON_Core_v0.1_Tanilama_Neden_Kodu_ve_Peer_Kimligi_Kanitlari_2026-10-28.zip</x:v>
      </x:c>
      <x:c r="D94" s="18" t="str">
        <x:v>Core 0.1 / 2026-10-28</x:v>
      </x:c>
      <x:c r="E94" s="18" t="str">
        <x:v>CURRENT-EXECUTION</x:v>
      </x:c>
      <x:c r="F94" s="18" t="str">
        <x:v>P0</x:v>
      </x:c>
      <x:c r="G94" s="18" t="str">
        <x:v>Backend, Frontend, QA</x:v>
      </x:c>
      <x:c r="H94" s="18" t="str">
        <x:v>41.01 raporuyla birlikte</x:v>
      </x:c>
      <x:c r="I94" s="18" t="str">
        <x:v>4 girdilik birleşik kanıt: özgün v9 ve v10 ZIP’leri, README ve manifest. İkisi de 135 kaynak/141 payload hash’i. Ürün/runtime/browser tekrar koşulmadı.</x:v>
      </x:c>
    </x:row>
    <x:row r="95" ht="60" customHeight="1">
      <x:c r="A95" s="18" t="str">
        <x:v>42.01</x:v>
      </x:c>
      <x:c r="B95" s="18" t="str">
        <x:v>07_TEST_PILOT_RELEASE</x:v>
      </x:c>
      <x:c r="C95" s="18" t="str">
        <x:v>42.01_POSEIDON_Core_v0.1_Kontrollu_Gorev_DB_Durdurma_Dogrulama_Raporu_2026-10-28_TR.docx</x:v>
      </x:c>
      <x:c r="D95" s="18" t="str">
        <x:v>Core 0.1 / 2026-10-28</x:v>
      </x:c>
      <x:c r="E95" s="18" t="str">
        <x:v>CURRENT-EXECUTION</x:v>
      </x:c>
      <x:c r="F95" s="18" t="str">
        <x:v>P0</x:v>
      </x:c>
      <x:c r="G95" s="18" t="str">
        <x:v>PO/BA, Backend, Frontend, QA</x:v>
      </x:c>
      <x:c r="H95" s="18" t="str">
        <x:v>26.01/26.02 sonrası; 42.02 ile birlikte</x:v>
      </x:c>
      <x:c r="I95" s="18" t="str">
        <x:v>Kontrollü stop: üretici72, bağımsız47 offline PASS. Kullanıcı TASK_DB_STOPPED bildirdi; yeni başlangıç source guard’ında bloke. İlk PID nedeni ve browser/UAT açık.</x:v>
      </x:c>
    </x:row>
    <x:row r="96" ht="60" customHeight="1">
      <x:c r="A96" s="18" t="str">
        <x:v>42.02</x:v>
      </x:c>
      <x:c r="B96" s="18" t="str">
        <x:v>07_TEST_PILOT_RELEASE</x:v>
      </x:c>
      <x:c r="C96" s="18" t="str">
        <x:v>42.02_POSEIDON_Core_v0.1_Kontrollu_Gorev_DB_Durdurma_Kanitlari_2026-10-28.zip</x:v>
      </x:c>
      <x:c r="D96" s="18" t="str">
        <x:v>Core 0.1 / 2026-10-28</x:v>
      </x:c>
      <x:c r="E96" s="18" t="str">
        <x:v>CURRENT-EXECUTION</x:v>
      </x:c>
      <x:c r="F96" s="18" t="str">
        <x:v>P0</x:v>
      </x:c>
      <x:c r="G96" s="18" t="str">
        <x:v>Backend, Frontend, QA</x:v>
      </x:c>
      <x:c r="H96" s="18" t="str">
        <x:v>42.01 raporuyla birlikte</x:v>
      </x:c>
      <x:c r="I96" s="18" t="str">
        <x:v>144 girdilik özgün v11 kanıtı:137 kaynak/143 payload hash’i. Yerel sentetik PG stop/restart/satır korunması üretici kanıtı; kullanıcı işlemi ve ürün/browser tekrarı değil.</x:v>
      </x:c>
    </x:row>
    <x:row r="97" ht="60" customHeight="1">
      <x:c r="A97" s="18" t="str">
        <x:v>43.01</x:v>
      </x:c>
      <x:c r="B97" s="18" t="str">
        <x:v>07_TEST_PILOT_RELEASE</x:v>
      </x:c>
      <x:c r="C97" s="18" t="str">
        <x:v>43.01_POSEIDON_Core_v0.1_Helper_Bytecode_Onbellek_Duzeltmesi_Dogrulama_Raporu_2026-10-28_TR.docx</x:v>
      </x:c>
      <x:c r="D97" s="18" t="str">
        <x:v>Core 0.1 / 2026-10-28</x:v>
      </x:c>
      <x:c r="E97" s="18" t="str">
        <x:v>CURRENT-EXECUTION</x:v>
      </x:c>
      <x:c r="F97" s="18" t="str">
        <x:v>P0</x:v>
      </x:c>
      <x:c r="G97" s="18" t="str">
        <x:v>PO/BA, Backend, Frontend, QA</x:v>
      </x:c>
      <x:c r="H97" s="18" t="str">
        <x:v>26.01/26.02 sonrası;43.02 ile birlikte</x:v>
      </x:c>
      <x:c r="I97" s="18" t="str">
        <x:v>Dar cache düzeltmesi: üretici76, bağımsız51 PASS. Eski helper/Git engeli DB eylemi olmadan tekrarlandı. Guard aynı; gerçek yeni başlangıç/browser/UAT bekliyor.</x:v>
      </x:c>
    </x:row>
    <x:row r="98" ht="60" customHeight="1">
      <x:c r="A98" s="18" t="str">
        <x:v>43.02</x:v>
      </x:c>
      <x:c r="B98" s="18" t="str">
        <x:v>07_TEST_PILOT_RELEASE</x:v>
      </x:c>
      <x:c r="C98" s="18" t="str">
        <x:v>43.02_POSEIDON_Core_v0.1_Helper_Bytecode_Onbellek_Duzeltmesi_Kanitlari_2026-10-28.zip</x:v>
      </x:c>
      <x:c r="D98" s="18" t="str">
        <x:v>Core 0.1 / 2026-10-28</x:v>
      </x:c>
      <x:c r="E98" s="18" t="str">
        <x:v>CURRENT-EXECUTION</x:v>
      </x:c>
      <x:c r="F98" s="18" t="str">
        <x:v>P0</x:v>
      </x:c>
      <x:c r="G98" s="18" t="str">
        <x:v>Backend, Frontend, QA</x:v>
      </x:c>
      <x:c r="H98" s="18" t="str">
        <x:v>43.01 raporuyla birlikte</x:v>
      </x:c>
      <x:c r="I98" s="18" t="str">
        <x:v>144 girdilik özgün v12 ZIP:138 kaynak/143 payload hash’i. Gerçek helper/Git/cache testleri; DB stop/start, cache silme veya ürün/browser tekrarı yok.</x:v>
      </x:c>
    </x:row>
    <x:row r="99" ht="60" customHeight="1">
      <x:c r="A99" s="18" t="str">
        <x:v>44.01</x:v>
      </x:c>
      <x:c r="B99" s="18" t="str">
        <x:v>07_TEST_PILOT_RELEASE</x:v>
      </x:c>
      <x:c r="C99" s="18" t="str">
        <x:v>44.01_POSEIDON_Core_v0.1_Login_Ret_Tanilama_Dogrulama_Raporu_2026-10-28_TR.docx</x:v>
      </x:c>
      <x:c r="D99" s="18" t="str">
        <x:v>Core 0.1 / 2026-10-28</x:v>
      </x:c>
      <x:c r="E99" s="18" t="str">
        <x:v>CURRENT-EXECUTION</x:v>
      </x:c>
      <x:c r="F99" s="18" t="str">
        <x:v>P0</x:v>
      </x:c>
      <x:c r="G99" s="18" t="str">
        <x:v>PO/BA, Backend, Frontend, QA</x:v>
      </x:c>
      <x:c r="H99" s="18" t="str">
        <x:v>26.01/26.02 sonrası; 44.02 ile birlikte</x:v>
      </x:c>
      <x:c r="I99" s="18" t="str">
        <x:v>Login ret tanılaması. v14 üretici 82 Python; bağımsız 6 parser testi P3 bulgusunu kapattı. Startup/landing görüldü; login HTTP 400 ve gerçek Origin nedeni açık.</x:v>
      </x:c>
    </x:row>
    <x:row r="100" ht="60" customHeight="1">
      <x:c r="A100" s="18" t="str">
        <x:v>44.02</x:v>
      </x:c>
      <x:c r="B100" s="18" t="str">
        <x:v>07_TEST_PILOT_RELEASE</x:v>
      </x:c>
      <x:c r="C100" s="18" t="str">
        <x:v>44.02_POSEIDON_Core_v0.1_Login_Ret_Tanilama_Dogrulama_Kanitlari_2026-10-28.zip</x:v>
      </x:c>
      <x:c r="D100" s="18" t="str">
        <x:v>Core 0.1 / 2026-10-28</x:v>
      </x:c>
      <x:c r="E100" s="18" t="str">
        <x:v>CURRENT-EXECUTION</x:v>
      </x:c>
      <x:c r="F100" s="18" t="str">
        <x:v>P0</x:v>
      </x:c>
      <x:c r="G100" s="18" t="str">
        <x:v>Backend, Frontend, QA</x:v>
      </x:c>
      <x:c r="H100" s="18" t="str">
        <x:v>44.01 raporuyla birlikte</x:v>
      </x:c>
      <x:c r="I100" s="18" t="str">
        <x:v>Özgün v13/v14 ZIP ve incelemeler. Güncel 140 kaynak / 149 payload hash. Backend 35/Kestrel v13 kanıtı taşınır; tam ürün/browser testleri tekrarlanmadı.</x:v>
      </x:c>
    </x:row>
    <x:row r="101" ht="60" customHeight="1">
      <x:c r="A101" s="18" t="str">
        <x:v>45.01</x:v>
      </x:c>
      <x:c r="B101" s="18" t="str">
        <x:v>07_TEST_PILOT_RELEASE</x:v>
      </x:c>
      <x:c r="C101" s="18" t="str">
        <x:v>45.01_POSEIDON_Core_v0.1_PostgreSQL_Hazirlik_Zaman_Asimi_Duzeltmesi_Dogrulama_Raporu_2026-10-29_TR.docx</x:v>
      </x:c>
      <x:c r="D101" s="18" t="str">
        <x:v>Core 0.1 / 2026-10-29</x:v>
      </x:c>
      <x:c r="E101" s="18" t="str">
        <x:v>CURRENT-EXECUTION</x:v>
      </x:c>
      <x:c r="F101" s="18" t="str">
        <x:v>P0</x:v>
      </x:c>
      <x:c r="G101" s="18" t="str">
        <x:v>PO/BA, Backend, Frontend, QA</x:v>
      </x:c>
      <x:c r="H101" s="18" t="str">
        <x:v>26.01/26.02 sonrası; 45.02 ile birlikte</x:v>
      </x:c>
      <x:c r="I101" s="18" t="str">
        <x:v>Dar readiness düzeltmesi: üretici 86, bağımsız 34 offline PASS. Zaman bütçeli probe retry; retained child sahipliği korunur. Gerçek yeni başlangıç, login 400 ve UAT açık.</x:v>
      </x:c>
    </x:row>
    <x:row r="102" ht="60" customHeight="1">
      <x:c r="A102" s="18" t="str">
        <x:v>45.02</x:v>
      </x:c>
      <x:c r="B102" s="18" t="str">
        <x:v>07_TEST_PILOT_RELEASE</x:v>
      </x:c>
      <x:c r="C102" s="18" t="str">
        <x:v>45.02_POSEIDON_Core_v0.1_PostgreSQL_Hazirlik_Zaman_Asimi_Duzeltmesi_Kanitlari_2026-10-29.zip</x:v>
      </x:c>
      <x:c r="D102" s="18" t="str">
        <x:v>Core 0.1 / 2026-10-29</x:v>
      </x:c>
      <x:c r="E102" s="18" t="str">
        <x:v>CURRENT-EXECUTION</x:v>
      </x:c>
      <x:c r="F102" s="18" t="str">
        <x:v>P0</x:v>
      </x:c>
      <x:c r="G102" s="18" t="str">
        <x:v>Backend, Frontend, QA</x:v>
      </x:c>
      <x:c r="H102" s="18" t="str">
        <x:v>45.01 raporuyla birlikte</x:v>
      </x:c>
      <x:c r="I102" s="18" t="str">
        <x:v>Özgün v15 ZIP: 148 girdi / 147 payload hash / 141 kaynak. Gecikmiş task-owned PG fixture üretici kanıtı; gerçek Codespace PID mismatch nedeni kanıtlanmadı.</x:v>
      </x:c>
    </x:row>
    <x:row r="103" ht="60" customHeight="1">
      <x:c r="A103" s="18" t="str">
        <x:v>46.01</x:v>
      </x:c>
      <x:c r="B103" s="18" t="str">
        <x:v>07_TEST_PILOT_RELEASE</x:v>
      </x:c>
      <x:c r="C103" s="18" t="str">
        <x:v>46.01_POSEIDON_Core_v0.1_UAT_Origin_Tasima_Uyarlamasi_Dogrulama_Raporu_2026-10-29_TR.docx</x:v>
      </x:c>
      <x:c r="D103" s="18" t="str">
        <x:v>Core 0.1 / 2026-10-29</x:v>
      </x:c>
      <x:c r="E103" s="18" t="str">
        <x:v>CURRENT-EXECUTION</x:v>
      </x:c>
      <x:c r="F103" s="18" t="str">
        <x:v>P0</x:v>
      </x:c>
      <x:c r="G103" s="18" t="str">
        <x:v>PO/BA, Backend, Frontend, QA</x:v>
      </x:c>
      <x:c r="H103" s="18" t="str">
        <x:v>26.01/26.02 sonrası; 46.02 ile birlikte</x:v>
      </x:c>
      <x:c r="I103" s="18" t="str">
        <x:v>Dar UAT Origin uyarlaması. Üretici 209/104/86 ve iki 6/6; bağımsız 8 offline kontrol. Gerçek login 19:38:18 gözlendi; logout/kayıt yazma/Esra UAT beklenir.</x:v>
      </x:c>
    </x:row>
    <x:row r="104" ht="60" customHeight="1">
      <x:c r="A104" s="18" t="str">
        <x:v>46.02</x:v>
      </x:c>
      <x:c r="B104" s="18" t="str">
        <x:v>07_TEST_PILOT_RELEASE</x:v>
      </x:c>
      <x:c r="C104" s="18" t="str">
        <x:v>46.02_POSEIDON_Core_v0.1_UAT_Origin_Tasima_Uyarlamasi_Kanitlari_2026-10-29.zip</x:v>
      </x:c>
      <x:c r="D104" s="18" t="str">
        <x:v>Core 0.1 / 2026-10-29</x:v>
      </x:c>
      <x:c r="E104" s="18" t="str">
        <x:v>CURRENT-EXECUTION</x:v>
      </x:c>
      <x:c r="F104" s="18" t="str">
        <x:v>P0</x:v>
      </x:c>
      <x:c r="G104" s="18" t="str">
        <x:v>Backend, Frontend, QA</x:v>
      </x:c>
      <x:c r="H104" s="18" t="str">
        <x:v>46.01 raporuyla birlikte</x:v>
      </x:c>
      <x:c r="I104" s="18" t="str">
        <x:v>Özgün v16 ZIP: 155 girdi / 154 payload hash / 142 kaynak. İlk yanlış fixture flag hatası ve son PASS ayrıdır; emüle HTTPS, native TLS/cihaz kabulü değil.</x:v>
      </x:c>
    </x:row>
    <x:row r="105" ht="60" customHeight="1">
      <x:c r="A105" s="18" t="str">
        <x:v>47.01</x:v>
      </x:c>
      <x:c r="B105" s="18" t="str">
        <x:v>07_TEST_PILOT_RELEASE</x:v>
      </x:c>
      <x:c r="C105" s="18" t="str">
        <x:v>47.01_POSEIDON_Core_v0.1_UAT_Oturum_Tani_ve_Temel_Kullanici_Kontrol_Raporu_2026-10-29_TR.docx</x:v>
      </x:c>
      <x:c r="D105" s="18" t="str">
        <x:v>Core 0.1 / 2026-10-29</x:v>
      </x:c>
      <x:c r="E105" s="18" t="str">
        <x:v>CURRENT-EXECUTION</x:v>
      </x:c>
      <x:c r="F105" s="18" t="str">
        <x:v>P0</x:v>
      </x:c>
      <x:c r="G105" s="18" t="str">
        <x:v>PO/BA, Backend, Frontend, QA</x:v>
      </x:c>
      <x:c r="H105" s="18" t="str">
        <x:v>26.01/26.02 sonrası; 47.02 ile birlikte</x:v>
      </x:c>
      <x:c r="I105" s="18" t="str">
        <x:v>Sadece oturum tanısı. 211/104/91 ve iki 6/6 üretici; 12 bağımsız parser kontrolü. Windows temel testleri bildirildi; 401 nedeni, IMO checksum ve tam UAT açık.</x:v>
      </x:c>
    </x:row>
    <x:row r="106" ht="60" customHeight="1">
      <x:c r="A106" s="18" t="str">
        <x:v>47.02</x:v>
      </x:c>
      <x:c r="B106" s="18" t="str">
        <x:v>07_TEST_PILOT_RELEASE</x:v>
      </x:c>
      <x:c r="C106" s="18" t="str">
        <x:v>47.02_POSEIDON_Core_v0.1_UAT_Oturum_Tani_Kanitlari_2026-10-29.zip</x:v>
      </x:c>
      <x:c r="D106" s="18" t="str">
        <x:v>Core 0.1 / 2026-10-29</x:v>
      </x:c>
      <x:c r="E106" s="18" t="str">
        <x:v>CURRENT-EXECUTION</x:v>
      </x:c>
      <x:c r="F106" s="18" t="str">
        <x:v>P0</x:v>
      </x:c>
      <x:c r="G106" s="18" t="str">
        <x:v>Backend, Frontend, QA</x:v>
      </x:c>
      <x:c r="H106" s="18" t="str">
        <x:v>47.01 raporuyla birlikte</x:v>
      </x:c>
      <x:c r="I106" s="18" t="str">
        <x:v>Özgün v17 ZIP: 160 giriş, 159 payload hash, 146 kaynak. Tanı sabit enum/UTC/sınırlı yaş; kimlik yok. Auth/TTL/CSRF aynı; gerçek tanı tekrarı beklenir.</x:v>
      </x:c>
    </x:row>
    <x:row r="107" ht="60" customHeight="1">
      <x:c r="A107" s="18" t="str">
        <x:v>48.01</x:v>
      </x:c>
      <x:c r="B107" s="18" t="str">
        <x:v>07_TEST_PILOT_RELEASE</x:v>
      </x:c>
      <x:c r="C107" s="18" t="str">
        <x:v>48.01_POSEIDON_Core_v0.1_IMO_Dogrulama_ve_Belirsiz_Islem_Duzeltmesi_Raporu_2026-10-29_TR.docx</x:v>
      </x:c>
      <x:c r="D107" s="18" t="str">
        <x:v>Core 0.1 / 2026-10-29</x:v>
      </x:c>
      <x:c r="E107" s="18" t="str">
        <x:v>CURRENT-EXECUTION</x:v>
      </x:c>
      <x:c r="F107" s="18" t="str">
        <x:v>P0</x:v>
      </x:c>
      <x:c r="G107" s="18" t="str">
        <x:v>PO/BA, Backend, Frontend, QA</x:v>
      </x:c>
      <x:c r="H107" s="18" t="str">
        <x:v>26.01/26.02 sonrası; 48.02 ile birlikte</x:v>
      </x:c>
      <x:c r="I107" s="18" t="str">
        <x:v>IMO checksum ve belirsiz işlem düzeltmesi. v18 HOLD, v19 P2/P3 kapandı. 226/119 ve iki 6/6 üretici; 6 odaklı bağımsız test. Kullanıcı düzeltme tekrarı beklenir.</x:v>
      </x:c>
    </x:row>
    <x:row r="108" ht="60" customHeight="1">
      <x:c r="A108" s="18" t="str">
        <x:v>48.02</x:v>
      </x:c>
      <x:c r="B108" s="18" t="str">
        <x:v>07_TEST_PILOT_RELEASE</x:v>
      </x:c>
      <x:c r="C108" s="18" t="str">
        <x:v>48.02_POSEIDON_Core_v0.1_IMO_Dogrulama_ve_Belirsiz_Islem_Duzeltmesi_Kanitlari_2026-10-29.zip</x:v>
      </x:c>
      <x:c r="D108" s="18" t="str">
        <x:v>Core 0.1 / 2026-10-29</x:v>
      </x:c>
      <x:c r="E108" s="18" t="str">
        <x:v>CURRENT-EXECUTION</x:v>
      </x:c>
      <x:c r="F108" s="18" t="str">
        <x:v>P0</x:v>
      </x:c>
      <x:c r="G108" s="18" t="str">
        <x:v>Backend, Frontend, QA</x:v>
      </x:c>
      <x:c r="H108" s="18" t="str">
        <x:v>48.01 raporuyla birlikte</x:v>
      </x:c>
      <x:c r="I108" s="18" t="str">
        <x:v>12 giriş/11 hash wrapper; özgün v18 ve v19, incelemeler ve bağımsız kanıtlar. Her özgün ZIP 163 giriş/162 payload; 151 kaynak. Aritmetik sicil doğrulaması değildir.</x:v>
      </x:c>
    </x:row>
    <x:row r="109" ht="60" customHeight="1">
      <x:c r="A109" s="18" t="str">
        <x:v>49.01</x:v>
      </x:c>
      <x:c r="B109" s="18" t="str">
        <x:v>05_TECHNICAL_ARCHITECTURE</x:v>
      </x:c>
      <x:c r="C109" s="18" t="str">
        <x:v>49.01_POSEIDON_v46.3_Bayrak_Gemi_Tipi_Standardizasyon_Tasarimi_TR.docx</x:v>
      </x:c>
      <x:c r="D109" s="18" t="str">
        <x:v>Proposal / 2026-10-29</x:v>
      </x:c>
      <x:c r="E109" s="18" t="str">
        <x:v>CURRENT-ANALYSIS</x:v>
      </x:c>
      <x:c r="F109" s="18" t="str">
        <x:v>P0</x:v>
      </x:c>
      <x:c r="G109" s="18" t="str">
        <x:v>PO/BA, Maritime/Legal SME, Architect, QA</x:v>
      </x:c>
      <x:c r="H109" s="18" t="str">
        <x:v>14.01/14.02/09.01 sonrası; 49.02/49.03 ile</x:v>
      </x:c>
      <x:c r="I109" s="18" t="str">
        <x:v>Bayrak/tip ayrımları, kaynak ve rakip kanıtı, sürümlü katalog ve geçiş önerisi. Runtime/seed yok; sicil statüsü ile kanıt doğrulaması ayrıdır.</x:v>
      </x:c>
    </x:row>
    <x:row r="110" ht="60" customHeight="1">
      <x:c r="A110" s="18" t="str">
        <x:v>49.02</x:v>
      </x:c>
      <x:c r="B110" s="18" t="str">
        <x:v>05_TECHNICAL_ARCHITECTURE</x:v>
      </x:c>
      <x:c r="C110" s="18" t="str">
        <x:v>49.02_POSEIDON_v46.3_Bayrak_Gemi_Tipi_Alan_ve_Katalog_Sozlugu_Onerisi_TR.xlsx</x:v>
      </x:c>
      <x:c r="D110" s="18" t="str">
        <x:v>Proposal / 2026-10-29</x:v>
      </x:c>
      <x:c r="E110" s="18" t="str">
        <x:v>CURRENT-ANALYSIS</x:v>
      </x:c>
      <x:c r="F110" s="18" t="str">
        <x:v>P0</x:v>
      </x:c>
      <x:c r="G110" s="18" t="str">
        <x:v>PO/BA, Maritime/Legal SME, Backend, QA</x:v>
      </x:c>
      <x:c r="H110" s="18" t="str">
        <x:v>49.01 ile; uygulama kararı öncesi</x:v>
      </x:c>
      <x:c r="I110" s="18" t="str">
        <x:v>Alan/katalog/eşleme/uygulanabilirlik ve kabul sözlüğü önerisi. Tam veya onaylı üretim kod listesi değil; 14.02 ve hukuki kapılar açık.</x:v>
      </x:c>
    </x:row>
    <x:row r="111" ht="60" customHeight="1">
      <x:c r="A111" s="18" t="str">
        <x:v>49.03</x:v>
      </x:c>
      <x:c r="B111" s="18" t="str">
        <x:v>90_SOURCE_RESEARCH</x:v>
      </x:c>
      <x:c r="C111" s="18" t="str">
        <x:v>49.03_POSEIDON_v46.3_Bayrak_Gemi_Tipi_Standardizasyon_Arastirma_Kanitlari_2026-10-29.zip</x:v>
      </x:c>
      <x:c r="D111" s="18" t="str">
        <x:v>Research / 2026-10-29</x:v>
      </x:c>
      <x:c r="E111" s="18" t="str">
        <x:v>CURRENT-REFERENCE</x:v>
      </x:c>
      <x:c r="F111" s="18" t="str">
        <x:v>P1</x:v>
      </x:c>
      <x:c r="G111" s="18" t="str">
        <x:v>PO/BA, Regulatory, Architect, QA</x:v>
      </x:c>
      <x:c r="H111" s="18" t="str">
        <x:v>49.01/49.02 kaynak izi</x:v>
      </x:c>
      <x:c r="I111" s="18" t="str">
        <x:v>Özgün teknik öneri ve araştırmalar, kanonik denetim, bağımsız düzeltme izi. 12 SYN model testi üretim/API/DB/UX kabulü değildir.</x:v>
      </x:c>
    </x:row>
    <x:row r="112" ht="60" customHeight="1">
      <x:c r="A112" s="18" t="str">
        <x:v>50.01</x:v>
      </x:c>
      <x:c r="B112" s="18" t="str">
        <x:v>04_UX_PRODUCT_DESIGN</x:v>
      </x:c>
      <x:c r="C112" s="18" t="str">
        <x:v>50.01_POSEIDON_v46.3_HSE_Calisma_Izni_Risk_Degerlendirme_Form_Tasarimi_TR.docx</x:v>
      </x:c>
      <x:c r="D112" s="18" t="str">
        <x:v>Proposal / 2026-10-29</x:v>
      </x:c>
      <x:c r="E112" s="18" t="str">
        <x:v>CURRENT-ANALYSIS</x:v>
      </x:c>
      <x:c r="F112" s="18" t="str">
        <x:v>P0</x:v>
      </x:c>
      <x:c r="G112" s="18" t="str">
        <x:v>PO/BA, Maritime/HSE SME, UX, QA</x:v>
      </x:c>
      <x:c r="H112" s="18" t="str">
        <x:v>Mevcut HSE analizi sonrası; 50.02/50.03 ile</x:v>
      </x:c>
      <x:c r="I112" s="18" t="str">
        <x:v>Çalışma izni ve risk değerlendirme form/akış tasarımı önerisi. İnsan yetkilendirmesi gerekir; operasyon talimatı veya çalışma izni değildir.</x:v>
      </x:c>
    </x:row>
    <x:row r="113" ht="60" customHeight="1">
      <x:c r="A113" s="18" t="str">
        <x:v>50.02</x:v>
      </x:c>
      <x:c r="B113" s="18" t="str">
        <x:v>04_UX_PRODUCT_DESIGN</x:v>
      </x:c>
      <x:c r="C113" s="18" t="str">
        <x:v>50.02_POSEIDON_v46.3_HSE_Form_Alanlari_Yasam_Dongusu_Kabul_Sozlugu_TR.xlsx</x:v>
      </x:c>
      <x:c r="D113" s="18" t="str">
        <x:v>Proposal / 2026-10-29</x:v>
      </x:c>
      <x:c r="E113" s="18" t="str">
        <x:v>CURRENT-ANALYSIS</x:v>
      </x:c>
      <x:c r="F113" s="18" t="str">
        <x:v>P0</x:v>
      </x:c>
      <x:c r="G113" s="18" t="str">
        <x:v>PO/BA, HSE SME, Backend, UX, QA</x:v>
      </x:c>
      <x:c r="H113" s="18" t="str">
        <x:v>50.01 ile; şablon onayı öncesi</x:v>
      </x:c>
      <x:c r="I113" s="18" t="str">
        <x:v>Yapılandırılmış form alanları, durumlar, roller ve negatif kabul senaryoları. Evrensel gaz/risk eşiği, otomatik güvenli veya AI onayı yok.</x:v>
      </x:c>
    </x:row>
    <x:row r="114" ht="60" customHeight="1">
      <x:c r="A114" s="18" t="str">
        <x:v>50.03</x:v>
      </x:c>
      <x:c r="B114" s="18" t="str">
        <x:v>90_SOURCE_RESEARCH</x:v>
      </x:c>
      <x:c r="C114" s="18" t="str">
        <x:v>50.03_POSEIDON_v46.3_HSE_Form_Analizi_Arastirma_Kanitlari_2026-10-29.zip</x:v>
      </x:c>
      <x:c r="D114" s="18" t="str">
        <x:v>Research / 2026-10-29</x:v>
      </x:c>
      <x:c r="E114" s="18" t="str">
        <x:v>CURRENT-REFERENCE</x:v>
      </x:c>
      <x:c r="F114" s="18" t="str">
        <x:v>P1</x:v>
      </x:c>
      <x:c r="G114" s="18" t="str">
        <x:v>PO/BA, HSE/Legal SME, QA</x:v>
      </x:c>
      <x:c r="H114" s="18" t="str">
        <x:v>50.01/50.02 kaynak izi</x:v>
      </x:c>
      <x:c r="I114" s="18" t="str">
        <x:v>HSE araştırma ve teknik boşluk önerisinin özgün kanıtları. Gemi/bayrak/SMS kapsamı ve yetkili uzman onayı açık; uygulanmış runtime değildir.</x:v>
      </x:c>
    </x:row>
  </x:sheetData>
  <x:conditionalFormatting sqref="F2:F56">
    <x:cfRule type="expression" dxfId="0" priority="1">
      <x:formula>F2="P0"</x:formula>
    </x:cfRule>
    <x:cfRule type="expression" dxfId="1" priority="2">
      <x:formula>F2="P1"</x:formula>
    </x:cfRule>
  </x:conditionalFormatting>
  <x:conditionalFormatting sqref="E2:E56">
    <x:cfRule type="expression" dxfId="2" priority="3">
      <x:formula>ISNUMBER(SEARCH("CANONICAL",E2))</x:formula>
    </x:cfRule>
    <x:cfRule type="expression" dxfId="3" priority="4">
      <x:formula>ISNUMBER(SEARCH("PROD REVIEW",E2))</x:formula>
    </x:cfRule>
  </x:conditionalFormatting>
  <x:conditionalFormatting sqref="F63:F63">
    <x:cfRule type="expression" dxfId="4" priority="5">
      <x:formula>F63="P0"</x:formula>
    </x:cfRule>
    <x:cfRule type="expression" dxfId="5" priority="6">
      <x:formula>F63="P1"</x:formula>
    </x:cfRule>
  </x:conditionalFormatting>
  <x:conditionalFormatting sqref="E63:E63">
    <x:cfRule type="expression" dxfId="6" priority="7">
      <x:formula>ISNUMBER(SEARCH("CANONICAL",E63))</x:formula>
    </x:cfRule>
    <x:cfRule type="expression" dxfId="7" priority="8">
      <x:formula>ISNUMBER(SEARCH("PROD REVIEW",E63))</x:formula>
    </x:cfRule>
  </x:conditionalFormatting>
  <x:conditionalFormatting sqref="F64:F64">
    <x:cfRule type="expression" dxfId="8" priority="9">
      <x:formula>F64="P0"</x:formula>
    </x:cfRule>
    <x:cfRule type="expression" dxfId="9" priority="10">
      <x:formula>F64="P1"</x:formula>
    </x:cfRule>
  </x:conditionalFormatting>
  <x:conditionalFormatting sqref="E64:E64">
    <x:cfRule type="expression" dxfId="10" priority="11">
      <x:formula>ISNUMBER(SEARCH("CANONICAL",E64))</x:formula>
    </x:cfRule>
    <x:cfRule type="expression" dxfId="11" priority="12">
      <x:formula>ISNUMBER(SEARCH("PROD REVIEW",E64))</x:formula>
    </x:cfRule>
  </x:conditionalFormatting>
  <x:conditionalFormatting sqref="F65:F65">
    <x:cfRule type="expression" dxfId="12" priority="13">
      <x:formula>F65="P0"</x:formula>
    </x:cfRule>
    <x:cfRule type="expression" dxfId="13" priority="14">
      <x:formula>F65="P1"</x:formula>
    </x:cfRule>
  </x:conditionalFormatting>
  <x:conditionalFormatting sqref="E65:E65">
    <x:cfRule type="expression" dxfId="14" priority="15">
      <x:formula>ISNUMBER(SEARCH("CANONICAL",E65))</x:formula>
    </x:cfRule>
    <x:cfRule type="expression" dxfId="15" priority="16">
      <x:formula>ISNUMBER(SEARCH("PROD REVIEW",E65))</x:formula>
    </x:cfRule>
  </x:conditionalFormatting>
  <x:conditionalFormatting sqref="F66:F66">
    <x:cfRule type="expression" dxfId="2888" priority="17">
      <x:formula>F66="P0"</x:formula>
    </x:cfRule>
    <x:cfRule type="expression" dxfId="2889" priority="18">
      <x:formula>F66="P1"</x:formula>
    </x:cfRule>
  </x:conditionalFormatting>
  <x:conditionalFormatting sqref="E66:E66">
    <x:cfRule type="expression" dxfId="2890" priority="19">
      <x:formula>ISNUMBER(SEARCH("CANONICAL",E66))</x:formula>
    </x:cfRule>
    <x:cfRule type="expression" dxfId="2891" priority="20">
      <x:formula>ISNUMBER(SEARCH("PROD REVIEW",E66))</x:formula>
    </x:cfRule>
  </x:conditionalFormatting>
  <x:conditionalFormatting sqref="F67:F67">
    <x:cfRule type="expression" dxfId="2892" priority="21">
      <x:formula>F67="P0"</x:formula>
    </x:cfRule>
    <x:cfRule type="expression" dxfId="2893" priority="22">
      <x:formula>F67="P1"</x:formula>
    </x:cfRule>
  </x:conditionalFormatting>
  <x:conditionalFormatting sqref="E67:E67">
    <x:cfRule type="expression" dxfId="2894" priority="23">
      <x:formula>ISNUMBER(SEARCH("CANONICAL",E67))</x:formula>
    </x:cfRule>
    <x:cfRule type="expression" dxfId="2895" priority="24">
      <x:formula>ISNUMBER(SEARCH("PROD REVIEW",E67))</x:formula>
    </x:cfRule>
  </x:conditionalFormatting>
  <x:conditionalFormatting sqref="F68:F68">
    <x:cfRule type="expression" dxfId="2896" priority="25">
      <x:formula>F68="P0"</x:formula>
    </x:cfRule>
    <x:cfRule type="expression" dxfId="2897" priority="26">
      <x:formula>F68="P1"</x:formula>
    </x:cfRule>
  </x:conditionalFormatting>
  <x:conditionalFormatting sqref="E68:E68">
    <x:cfRule type="expression" dxfId="2898" priority="27">
      <x:formula>ISNUMBER(SEARCH("CANONICAL",E68))</x:formula>
    </x:cfRule>
    <x:cfRule type="expression" dxfId="2899" priority="28">
      <x:formula>ISNUMBER(SEARCH("PROD REVIEW",E68))</x:formula>
    </x:cfRule>
  </x:conditionalFormatting>
  <x:conditionalFormatting sqref="F69:F69">
    <x:cfRule type="expression" dxfId="2900" priority="29">
      <x:formula>F69="P0"</x:formula>
    </x:cfRule>
    <x:cfRule type="expression" dxfId="2901" priority="30">
      <x:formula>F69="P1"</x:formula>
    </x:cfRule>
  </x:conditionalFormatting>
  <x:conditionalFormatting sqref="E69:E69">
    <x:cfRule type="expression" dxfId="2902" priority="31">
      <x:formula>ISNUMBER(SEARCH("CANONICAL",E69))</x:formula>
    </x:cfRule>
    <x:cfRule type="expression" dxfId="2903" priority="32">
      <x:formula>ISNUMBER(SEARCH("PROD REVIEW",E69))</x:formula>
    </x:cfRule>
  </x:conditionalFormatting>
  <x:conditionalFormatting sqref="F70:F70">
    <x:cfRule type="expression" dxfId="2904" priority="33">
      <x:formula>F70="P0"</x:formula>
    </x:cfRule>
    <x:cfRule type="expression" dxfId="2905" priority="34">
      <x:formula>F70="P1"</x:formula>
    </x:cfRule>
  </x:conditionalFormatting>
  <x:conditionalFormatting sqref="E70:E70">
    <x:cfRule type="expression" dxfId="2906" priority="35">
      <x:formula>ISNUMBER(SEARCH("CANONICAL",E70))</x:formula>
    </x:cfRule>
    <x:cfRule type="expression" dxfId="2907" priority="36">
      <x:formula>ISNUMBER(SEARCH("PROD REVIEW",E70))</x:formula>
    </x:cfRule>
  </x:conditionalFormatting>
  <x:conditionalFormatting sqref="F71:F71">
    <x:cfRule type="expression" dxfId="2908" priority="37">
      <x:formula>F71="P0"</x:formula>
    </x:cfRule>
    <x:cfRule type="expression" dxfId="2909" priority="38">
      <x:formula>F71="P1"</x:formula>
    </x:cfRule>
  </x:conditionalFormatting>
  <x:conditionalFormatting sqref="E71:E71">
    <x:cfRule type="expression" dxfId="2910" priority="39">
      <x:formula>ISNUMBER(SEARCH("CANONICAL",E71))</x:formula>
    </x:cfRule>
    <x:cfRule type="expression" dxfId="2911" priority="40">
      <x:formula>ISNUMBER(SEARCH("PROD REVIEW",E71))</x:formula>
    </x:cfRule>
  </x:conditionalFormatting>
  <x:conditionalFormatting sqref="F72:F72">
    <x:cfRule type="expression" dxfId="2912" priority="41">
      <x:formula>F72="P0"</x:formula>
    </x:cfRule>
    <x:cfRule type="expression" dxfId="2913" priority="42">
      <x:formula>F72="P1"</x:formula>
    </x:cfRule>
  </x:conditionalFormatting>
  <x:conditionalFormatting sqref="E72:E72">
    <x:cfRule type="expression" dxfId="2914" priority="43">
      <x:formula>ISNUMBER(SEARCH("CANONICAL",E72))</x:formula>
    </x:cfRule>
    <x:cfRule type="expression" dxfId="2915" priority="44">
      <x:formula>ISNUMBER(SEARCH("PROD REVIEW",E72))</x:formula>
    </x:cfRule>
  </x:conditionalFormatting>
  <x:conditionalFormatting sqref="F73:F73">
    <x:cfRule type="expression" dxfId="2916" priority="45">
      <x:formula>F73="P0"</x:formula>
    </x:cfRule>
    <x:cfRule type="expression" dxfId="2917" priority="46">
      <x:formula>F73="P1"</x:formula>
    </x:cfRule>
  </x:conditionalFormatting>
  <x:conditionalFormatting sqref="E73:E73">
    <x:cfRule type="expression" dxfId="2918" priority="47">
      <x:formula>ISNUMBER(SEARCH("CANONICAL",E73))</x:formula>
    </x:cfRule>
    <x:cfRule type="expression" dxfId="2919" priority="48">
      <x:formula>ISNUMBER(SEARCH("PROD REVIEW",E73))</x:formula>
    </x:cfRule>
  </x:conditionalFormatting>
  <x:conditionalFormatting sqref="F74:F74">
    <x:cfRule type="expression" dxfId="2920" priority="49">
      <x:formula>F74="P0"</x:formula>
    </x:cfRule>
    <x:cfRule type="expression" dxfId="2921" priority="50">
      <x:formula>F74="P1"</x:formula>
    </x:cfRule>
  </x:conditionalFormatting>
  <x:conditionalFormatting sqref="E74:E74">
    <x:cfRule type="expression" dxfId="2922" priority="51">
      <x:formula>ISNUMBER(SEARCH("CANONICAL",E74))</x:formula>
    </x:cfRule>
    <x:cfRule type="expression" dxfId="2923" priority="52">
      <x:formula>ISNUMBER(SEARCH("PROD REVIEW",E74))</x:formula>
    </x:cfRule>
  </x:conditionalFormatting>
  <x:conditionalFormatting sqref="F75:F75">
    <x:cfRule type="expression" dxfId="2924" priority="53">
      <x:formula>F75="P0"</x:formula>
    </x:cfRule>
    <x:cfRule type="expression" dxfId="2925" priority="54">
      <x:formula>F75="P1"</x:formula>
    </x:cfRule>
  </x:conditionalFormatting>
  <x:conditionalFormatting sqref="E75:E75">
    <x:cfRule type="expression" dxfId="2926" priority="55">
      <x:formula>ISNUMBER(SEARCH("CANONICAL",E75))</x:formula>
    </x:cfRule>
    <x:cfRule type="expression" dxfId="2927" priority="56">
      <x:formula>ISNUMBER(SEARCH("PROD REVIEW",E75))</x:formula>
    </x:cfRule>
  </x:conditionalFormatting>
  <x:conditionalFormatting sqref="F76:F76">
    <x:cfRule type="expression" dxfId="2928" priority="57">
      <x:formula>F76="P0"</x:formula>
    </x:cfRule>
    <x:cfRule type="expression" dxfId="2929" priority="58">
      <x:formula>F76="P1"</x:formula>
    </x:cfRule>
  </x:conditionalFormatting>
  <x:conditionalFormatting sqref="E76:E76">
    <x:cfRule type="expression" dxfId="2930" priority="59">
      <x:formula>ISNUMBER(SEARCH("CANONICAL",E76))</x:formula>
    </x:cfRule>
    <x:cfRule type="expression" dxfId="2931" priority="60">
      <x:formula>ISNUMBER(SEARCH("PROD REVIEW",E76))</x:formula>
    </x:cfRule>
  </x:conditionalFormatting>
  <x:conditionalFormatting sqref="F77:F77">
    <x:cfRule type="expression" dxfId="2932" priority="61">
      <x:formula>F77="P0"</x:formula>
    </x:cfRule>
    <x:cfRule type="expression" dxfId="2933" priority="62">
      <x:formula>F77="P1"</x:formula>
    </x:cfRule>
  </x:conditionalFormatting>
  <x:conditionalFormatting sqref="E77:E77">
    <x:cfRule type="expression" dxfId="2934" priority="63">
      <x:formula>ISNUMBER(SEARCH("CANONICAL",E77))</x:formula>
    </x:cfRule>
    <x:cfRule type="expression" dxfId="2935" priority="64">
      <x:formula>ISNUMBER(SEARCH("PROD REVIEW",E77))</x:formula>
    </x:cfRule>
  </x:conditionalFormatting>
  <x:conditionalFormatting sqref="F78:F78">
    <x:cfRule type="expression" dxfId="2936" priority="65">
      <x:formula>F78="P0"</x:formula>
    </x:cfRule>
    <x:cfRule type="expression" dxfId="2937" priority="66">
      <x:formula>F78="P1"</x:formula>
    </x:cfRule>
  </x:conditionalFormatting>
  <x:conditionalFormatting sqref="E78:E78">
    <x:cfRule type="expression" dxfId="2938" priority="67">
      <x:formula>ISNUMBER(SEARCH("CANONICAL",E78))</x:formula>
    </x:cfRule>
    <x:cfRule type="expression" dxfId="2939" priority="68">
      <x:formula>ISNUMBER(SEARCH("PROD REVIEW",E78))</x:formula>
    </x:cfRule>
  </x:conditionalFormatting>
  <x:conditionalFormatting sqref="F79:F79">
    <x:cfRule type="expression" dxfId="2940" priority="69">
      <x:formula>F79="P0"</x:formula>
    </x:cfRule>
    <x:cfRule type="expression" dxfId="2941" priority="70">
      <x:formula>F79="P1"</x:formula>
    </x:cfRule>
  </x:conditionalFormatting>
  <x:conditionalFormatting sqref="E79:E79">
    <x:cfRule type="expression" dxfId="2942" priority="71">
      <x:formula>ISNUMBER(SEARCH("CANONICAL",E79))</x:formula>
    </x:cfRule>
    <x:cfRule type="expression" dxfId="2943" priority="72">
      <x:formula>ISNUMBER(SEARCH("PROD REVIEW",E79))</x:formula>
    </x:cfRule>
  </x:conditionalFormatting>
  <x:conditionalFormatting sqref="F80:F80">
    <x:cfRule type="expression" dxfId="2944" priority="73">
      <x:formula>F80="P0"</x:formula>
    </x:cfRule>
    <x:cfRule type="expression" dxfId="2945" priority="74">
      <x:formula>F80="P1"</x:formula>
    </x:cfRule>
  </x:conditionalFormatting>
  <x:conditionalFormatting sqref="E80:E80">
    <x:cfRule type="expression" dxfId="2946" priority="75">
      <x:formula>ISNUMBER(SEARCH("CANONICAL",E80))</x:formula>
    </x:cfRule>
    <x:cfRule type="expression" dxfId="2947" priority="76">
      <x:formula>ISNUMBER(SEARCH("PROD REVIEW",E80))</x:formula>
    </x:cfRule>
  </x:conditionalFormatting>
  <x:conditionalFormatting sqref="F81:F81">
    <x:cfRule type="expression" dxfId="2948" priority="77">
      <x:formula>F81="P0"</x:formula>
    </x:cfRule>
    <x:cfRule type="expression" dxfId="2949" priority="78">
      <x:formula>F81="P1"</x:formula>
    </x:cfRule>
  </x:conditionalFormatting>
  <x:conditionalFormatting sqref="E81:E81">
    <x:cfRule type="expression" dxfId="2950" priority="79">
      <x:formula>ISNUMBER(SEARCH("CANONICAL",E81))</x:formula>
    </x:cfRule>
    <x:cfRule type="expression" dxfId="2951" priority="80">
      <x:formula>ISNUMBER(SEARCH("PROD REVIEW",E81))</x:formula>
    </x:cfRule>
  </x:conditionalFormatting>
  <x:conditionalFormatting sqref="F82:F82">
    <x:cfRule type="expression" dxfId="2952" priority="81">
      <x:formula>F82="P0"</x:formula>
    </x:cfRule>
    <x:cfRule type="expression" dxfId="2953" priority="82">
      <x:formula>F82="P1"</x:formula>
    </x:cfRule>
  </x:conditionalFormatting>
  <x:conditionalFormatting sqref="E82:E82">
    <x:cfRule type="expression" dxfId="2954" priority="83">
      <x:formula>ISNUMBER(SEARCH("CANONICAL",E82))</x:formula>
    </x:cfRule>
    <x:cfRule type="expression" dxfId="2955" priority="84">
      <x:formula>ISNUMBER(SEARCH("PROD REVIEW",E82))</x:formula>
    </x:cfRule>
  </x:conditionalFormatting>
  <x:conditionalFormatting sqref="F83:F83">
    <x:cfRule type="expression" dxfId="2956" priority="85">
      <x:formula>F83="P0"</x:formula>
    </x:cfRule>
    <x:cfRule type="expression" dxfId="2957" priority="86">
      <x:formula>F83="P1"</x:formula>
    </x:cfRule>
  </x:conditionalFormatting>
  <x:conditionalFormatting sqref="E83:E83">
    <x:cfRule type="expression" dxfId="2958" priority="87">
      <x:formula>ISNUMBER(SEARCH("CANONICAL",E83))</x:formula>
    </x:cfRule>
    <x:cfRule type="expression" dxfId="2959" priority="88">
      <x:formula>ISNUMBER(SEARCH("PROD REVIEW",E83))</x:formula>
    </x:cfRule>
  </x:conditionalFormatting>
  <x:conditionalFormatting sqref="F84:F84">
    <x:cfRule type="expression" dxfId="2960" priority="89">
      <x:formula>F84="P0"</x:formula>
    </x:cfRule>
    <x:cfRule type="expression" dxfId="2961" priority="90">
      <x:formula>F84="P1"</x:formula>
    </x:cfRule>
  </x:conditionalFormatting>
  <x:conditionalFormatting sqref="E84:E84">
    <x:cfRule type="expression" dxfId="2962" priority="91">
      <x:formula>ISNUMBER(SEARCH("CANONICAL",E84))</x:formula>
    </x:cfRule>
    <x:cfRule type="expression" dxfId="2963" priority="92">
      <x:formula>ISNUMBER(SEARCH("PROD REVIEW",E84))</x:formula>
    </x:cfRule>
  </x:conditionalFormatting>
  <x:conditionalFormatting sqref="F85:F85">
    <x:cfRule type="expression" dxfId="2964" priority="93">
      <x:formula>F85="P0"</x:formula>
    </x:cfRule>
    <x:cfRule type="expression" dxfId="2965" priority="94">
      <x:formula>F85="P1"</x:formula>
    </x:cfRule>
  </x:conditionalFormatting>
  <x:conditionalFormatting sqref="E85:E85">
    <x:cfRule type="expression" dxfId="2966" priority="95">
      <x:formula>ISNUMBER(SEARCH("CANONICAL",E85))</x:formula>
    </x:cfRule>
    <x:cfRule type="expression" dxfId="2967" priority="96">
      <x:formula>ISNUMBER(SEARCH("PROD REVIEW",E85))</x:formula>
    </x:cfRule>
  </x:conditionalFormatting>
  <x:conditionalFormatting sqref="F86:F86">
    <x:cfRule type="expression" dxfId="2968" priority="97">
      <x:formula>F86="P0"</x:formula>
    </x:cfRule>
    <x:cfRule type="expression" dxfId="2969" priority="98">
      <x:formula>F86="P1"</x:formula>
    </x:cfRule>
  </x:conditionalFormatting>
  <x:conditionalFormatting sqref="E86:E86">
    <x:cfRule type="expression" dxfId="2970" priority="99">
      <x:formula>ISNUMBER(SEARCH("CANONICAL",E86))</x:formula>
    </x:cfRule>
    <x:cfRule type="expression" dxfId="2971" priority="100">
      <x:formula>ISNUMBER(SEARCH("PROD REVIEW",E86))</x:formula>
    </x:cfRule>
  </x:conditionalFormatting>
  <x:conditionalFormatting sqref="F87:F87">
    <x:cfRule type="expression" dxfId="2972" priority="101">
      <x:formula>F87="P0"</x:formula>
    </x:cfRule>
    <x:cfRule type="expression" dxfId="2973" priority="102">
      <x:formula>F87="P1"</x:formula>
    </x:cfRule>
  </x:conditionalFormatting>
  <x:conditionalFormatting sqref="E87:E87">
    <x:cfRule type="expression" dxfId="2974" priority="103">
      <x:formula>ISNUMBER(SEARCH("CANONICAL",E87))</x:formula>
    </x:cfRule>
    <x:cfRule type="expression" dxfId="2975" priority="104">
      <x:formula>ISNUMBER(SEARCH("PROD REVIEW",E87))</x:formula>
    </x:cfRule>
  </x:conditionalFormatting>
  <x:conditionalFormatting sqref="F88:F88">
    <x:cfRule type="expression" dxfId="2976" priority="105">
      <x:formula>F88="P0"</x:formula>
    </x:cfRule>
    <x:cfRule type="expression" dxfId="2977" priority="106">
      <x:formula>F88="P1"</x:formula>
    </x:cfRule>
  </x:conditionalFormatting>
  <x:conditionalFormatting sqref="E88:E88">
    <x:cfRule type="expression" dxfId="2978" priority="107">
      <x:formula>ISNUMBER(SEARCH("CANONICAL",E88))</x:formula>
    </x:cfRule>
    <x:cfRule type="expression" dxfId="2979" priority="108">
      <x:formula>ISNUMBER(SEARCH("PROD REVIEW",E88))</x:formula>
    </x:cfRule>
  </x:conditionalFormatting>
  <x:conditionalFormatting sqref="F89:F89">
    <x:cfRule type="expression" dxfId="2980" priority="109">
      <x:formula>F89="P0"</x:formula>
    </x:cfRule>
    <x:cfRule type="expression" dxfId="2981" priority="110">
      <x:formula>F89="P1"</x:formula>
    </x:cfRule>
  </x:conditionalFormatting>
  <x:conditionalFormatting sqref="E89:E89">
    <x:cfRule type="expression" dxfId="2982" priority="111">
      <x:formula>ISNUMBER(SEARCH("CANONICAL",E89))</x:formula>
    </x:cfRule>
    <x:cfRule type="expression" dxfId="2983" priority="112">
      <x:formula>ISNUMBER(SEARCH("PROD REVIEW",E89))</x:formula>
    </x:cfRule>
  </x:conditionalFormatting>
  <x:conditionalFormatting sqref="F90:F90">
    <x:cfRule type="expression" dxfId="2984" priority="113">
      <x:formula>F90="P0"</x:formula>
    </x:cfRule>
    <x:cfRule type="expression" dxfId="2985" priority="114">
      <x:formula>F90="P1"</x:formula>
    </x:cfRule>
  </x:conditionalFormatting>
  <x:conditionalFormatting sqref="E90:E90">
    <x:cfRule type="expression" dxfId="2986" priority="115">
      <x:formula>ISNUMBER(SEARCH("CANONICAL",E90))</x:formula>
    </x:cfRule>
    <x:cfRule type="expression" dxfId="2987" priority="116">
      <x:formula>ISNUMBER(SEARCH("PROD REVIEW",E90))</x:formula>
    </x:cfRule>
  </x:conditionalFormatting>
  <x:conditionalFormatting sqref="F91:F91">
    <x:cfRule type="expression" dxfId="2988" priority="117">
      <x:formula>F91="P0"</x:formula>
    </x:cfRule>
    <x:cfRule type="expression" dxfId="2989" priority="118">
      <x:formula>F91="P1"</x:formula>
    </x:cfRule>
  </x:conditionalFormatting>
  <x:conditionalFormatting sqref="E91:E91">
    <x:cfRule type="expression" dxfId="2990" priority="119">
      <x:formula>ISNUMBER(SEARCH("CANONICAL",E91))</x:formula>
    </x:cfRule>
    <x:cfRule type="expression" dxfId="2991" priority="120">
      <x:formula>ISNUMBER(SEARCH("PROD REVIEW",E91))</x:formula>
    </x:cfRule>
  </x:conditionalFormatting>
  <x:conditionalFormatting sqref="F92:F92">
    <x:cfRule type="expression" dxfId="2992" priority="121">
      <x:formula>F92="P0"</x:formula>
    </x:cfRule>
    <x:cfRule type="expression" dxfId="2993" priority="122">
      <x:formula>F92="P1"</x:formula>
    </x:cfRule>
  </x:conditionalFormatting>
  <x:conditionalFormatting sqref="E92:E92">
    <x:cfRule type="expression" dxfId="2994" priority="123">
      <x:formula>ISNUMBER(SEARCH("CANONICAL",E92))</x:formula>
    </x:cfRule>
    <x:cfRule type="expression" dxfId="2995" priority="124">
      <x:formula>ISNUMBER(SEARCH("PROD REVIEW",E92))</x:formula>
    </x:cfRule>
  </x:conditionalFormatting>
  <x:conditionalFormatting sqref="F93:F93">
    <x:cfRule type="expression" dxfId="2996" priority="125">
      <x:formula>F93="P0"</x:formula>
    </x:cfRule>
    <x:cfRule type="expression" dxfId="2997" priority="126">
      <x:formula>F93="P1"</x:formula>
    </x:cfRule>
  </x:conditionalFormatting>
  <x:conditionalFormatting sqref="E93:E93">
    <x:cfRule type="expression" dxfId="2998" priority="127">
      <x:formula>ISNUMBER(SEARCH("CANONICAL",E93))</x:formula>
    </x:cfRule>
    <x:cfRule type="expression" dxfId="2999" priority="128">
      <x:formula>ISNUMBER(SEARCH("PROD REVIEW",E93))</x:formula>
    </x:cfRule>
  </x:conditionalFormatting>
  <x:conditionalFormatting sqref="F94:F94">
    <x:cfRule type="expression" dxfId="3000" priority="129">
      <x:formula>F94="P0"</x:formula>
    </x:cfRule>
    <x:cfRule type="expression" dxfId="3001" priority="130">
      <x:formula>F94="P1"</x:formula>
    </x:cfRule>
  </x:conditionalFormatting>
  <x:conditionalFormatting sqref="E94:E94">
    <x:cfRule type="expression" dxfId="3002" priority="131">
      <x:formula>ISNUMBER(SEARCH("CANONICAL",E94))</x:formula>
    </x:cfRule>
    <x:cfRule type="expression" dxfId="3003" priority="132">
      <x:formula>ISNUMBER(SEARCH("PROD REVIEW",E94))</x:formula>
    </x:cfRule>
  </x:conditionalFormatting>
  <x:conditionalFormatting sqref="F95:F95">
    <x:cfRule type="expression" dxfId="3004" priority="133">
      <x:formula>F95="P0"</x:formula>
    </x:cfRule>
    <x:cfRule type="expression" dxfId="3005" priority="134">
      <x:formula>F95="P1"</x:formula>
    </x:cfRule>
  </x:conditionalFormatting>
  <x:conditionalFormatting sqref="E95:E95">
    <x:cfRule type="expression" dxfId="3006" priority="135">
      <x:formula>ISNUMBER(SEARCH("CANONICAL",E95))</x:formula>
    </x:cfRule>
    <x:cfRule type="expression" dxfId="3007" priority="136">
      <x:formula>ISNUMBER(SEARCH("PROD REVIEW",E95))</x:formula>
    </x:cfRule>
  </x:conditionalFormatting>
  <x:conditionalFormatting sqref="F96:F96">
    <x:cfRule type="expression" dxfId="3008" priority="137">
      <x:formula>F96="P0"</x:formula>
    </x:cfRule>
    <x:cfRule type="expression" dxfId="3009" priority="138">
      <x:formula>F96="P1"</x:formula>
    </x:cfRule>
  </x:conditionalFormatting>
  <x:conditionalFormatting sqref="E96:E96">
    <x:cfRule type="expression" dxfId="3010" priority="139">
      <x:formula>ISNUMBER(SEARCH("CANONICAL",E96))</x:formula>
    </x:cfRule>
    <x:cfRule type="expression" dxfId="3011" priority="140">
      <x:formula>ISNUMBER(SEARCH("PROD REVIEW",E96))</x:formula>
    </x:cfRule>
  </x:conditionalFormatting>
  <x:conditionalFormatting sqref="F97:F97">
    <x:cfRule type="expression" dxfId="3012" priority="141">
      <x:formula>F97="P0"</x:formula>
    </x:cfRule>
    <x:cfRule type="expression" dxfId="3013" priority="142">
      <x:formula>F97="P1"</x:formula>
    </x:cfRule>
  </x:conditionalFormatting>
  <x:conditionalFormatting sqref="E97:E97">
    <x:cfRule type="expression" dxfId="3014" priority="143">
      <x:formula>ISNUMBER(SEARCH("CANONICAL",E97))</x:formula>
    </x:cfRule>
    <x:cfRule type="expression" dxfId="3015" priority="144">
      <x:formula>ISNUMBER(SEARCH("PROD REVIEW",E97))</x:formula>
    </x:cfRule>
  </x:conditionalFormatting>
  <x:conditionalFormatting sqref="F98:F98">
    <x:cfRule type="expression" dxfId="3016" priority="145">
      <x:formula>F98="P0"</x:formula>
    </x:cfRule>
    <x:cfRule type="expression" dxfId="3017" priority="146">
      <x:formula>F98="P1"</x:formula>
    </x:cfRule>
  </x:conditionalFormatting>
  <x:conditionalFormatting sqref="E98:E98">
    <x:cfRule type="expression" dxfId="3018" priority="147">
      <x:formula>ISNUMBER(SEARCH("CANONICAL",E98))</x:formula>
    </x:cfRule>
    <x:cfRule type="expression" dxfId="3019" priority="148">
      <x:formula>ISNUMBER(SEARCH("PROD REVIEW",E98))</x:formula>
    </x:cfRule>
  </x:conditionalFormatting>
  <x:conditionalFormatting sqref="F99:F99">
    <x:cfRule type="expression" dxfId="3020" priority="149">
      <x:formula>F99="P0"</x:formula>
    </x:cfRule>
    <x:cfRule type="expression" dxfId="3021" priority="150">
      <x:formula>F99="P1"</x:formula>
    </x:cfRule>
  </x:conditionalFormatting>
  <x:conditionalFormatting sqref="E99:E99">
    <x:cfRule type="expression" dxfId="3022" priority="151">
      <x:formula>ISNUMBER(SEARCH("CANONICAL",E99))</x:formula>
    </x:cfRule>
    <x:cfRule type="expression" dxfId="3023" priority="152">
      <x:formula>ISNUMBER(SEARCH("PROD REVIEW",E99))</x:formula>
    </x:cfRule>
  </x:conditionalFormatting>
  <x:conditionalFormatting sqref="F100:F100">
    <x:cfRule type="expression" dxfId="3024" priority="153">
      <x:formula>F100="P0"</x:formula>
    </x:cfRule>
    <x:cfRule type="expression" dxfId="3025" priority="154">
      <x:formula>F100="P1"</x:formula>
    </x:cfRule>
  </x:conditionalFormatting>
  <x:conditionalFormatting sqref="E100:E100">
    <x:cfRule type="expression" dxfId="3026" priority="155">
      <x:formula>ISNUMBER(SEARCH("CANONICAL",E100))</x:formula>
    </x:cfRule>
    <x:cfRule type="expression" dxfId="3027" priority="156">
      <x:formula>ISNUMBER(SEARCH("PROD REVIEW",E100))</x:formula>
    </x:cfRule>
  </x:conditionalFormatting>
  <x:conditionalFormatting sqref="F101:F101">
    <x:cfRule type="expression" dxfId="3028" priority="157">
      <x:formula>F101="P0"</x:formula>
    </x:cfRule>
    <x:cfRule type="expression" dxfId="3029" priority="158">
      <x:formula>F101="P1"</x:formula>
    </x:cfRule>
  </x:conditionalFormatting>
  <x:conditionalFormatting sqref="E101:E101">
    <x:cfRule type="expression" dxfId="3030" priority="159">
      <x:formula>ISNUMBER(SEARCH("CANONICAL",E101))</x:formula>
    </x:cfRule>
    <x:cfRule type="expression" dxfId="3031" priority="160">
      <x:formula>ISNUMBER(SEARCH("PROD REVIEW",E101))</x:formula>
    </x:cfRule>
  </x:conditionalFormatting>
  <x:conditionalFormatting sqref="F102:F102">
    <x:cfRule type="expression" dxfId="3032" priority="161">
      <x:formula>F102="P0"</x:formula>
    </x:cfRule>
    <x:cfRule type="expression" dxfId="3033" priority="162">
      <x:formula>F102="P1"</x:formula>
    </x:cfRule>
  </x:conditionalFormatting>
  <x:conditionalFormatting sqref="E102:E102">
    <x:cfRule type="expression" dxfId="3034" priority="163">
      <x:formula>ISNUMBER(SEARCH("CANONICAL",E102))</x:formula>
    </x:cfRule>
    <x:cfRule type="expression" dxfId="3035" priority="164">
      <x:formula>ISNUMBER(SEARCH("PROD REVIEW",E102))</x:formula>
    </x:cfRule>
  </x:conditionalFormatting>
  <x:conditionalFormatting sqref="F103:F103">
    <x:cfRule type="expression" dxfId="3036" priority="165">
      <x:formula>F103="P0"</x:formula>
    </x:cfRule>
    <x:cfRule type="expression" dxfId="3037" priority="166">
      <x:formula>F103="P1"</x:formula>
    </x:cfRule>
  </x:conditionalFormatting>
  <x:conditionalFormatting sqref="E103:E103">
    <x:cfRule type="expression" dxfId="3038" priority="167">
      <x:formula>ISNUMBER(SEARCH("CANONICAL",E103))</x:formula>
    </x:cfRule>
    <x:cfRule type="expression" dxfId="3039" priority="168">
      <x:formula>ISNUMBER(SEARCH("PROD REVIEW",E103))</x:formula>
    </x:cfRule>
  </x:conditionalFormatting>
  <x:conditionalFormatting sqref="F104:F104">
    <x:cfRule type="expression" dxfId="3040" priority="169">
      <x:formula>F104="P0"</x:formula>
    </x:cfRule>
    <x:cfRule type="expression" dxfId="3041" priority="170">
      <x:formula>F104="P1"</x:formula>
    </x:cfRule>
  </x:conditionalFormatting>
  <x:conditionalFormatting sqref="E104:E104">
    <x:cfRule type="expression" dxfId="3042" priority="171">
      <x:formula>ISNUMBER(SEARCH("CANONICAL",E104))</x:formula>
    </x:cfRule>
    <x:cfRule type="expression" dxfId="3043" priority="172">
      <x:formula>ISNUMBER(SEARCH("PROD REVIEW",E104))</x:formula>
    </x:cfRule>
  </x:conditionalFormatting>
  <x:conditionalFormatting sqref="F105:F105">
    <x:cfRule type="expression" dxfId="3044" priority="173">
      <x:formula>F105="P0"</x:formula>
    </x:cfRule>
    <x:cfRule type="expression" dxfId="3045" priority="174">
      <x:formula>F105="P1"</x:formula>
    </x:cfRule>
  </x:conditionalFormatting>
  <x:conditionalFormatting sqref="E105:E105">
    <x:cfRule type="expression" dxfId="3046" priority="175">
      <x:formula>ISNUMBER(SEARCH("CANONICAL",E105))</x:formula>
    </x:cfRule>
    <x:cfRule type="expression" dxfId="3047" priority="176">
      <x:formula>ISNUMBER(SEARCH("PROD REVIEW",E105))</x:formula>
    </x:cfRule>
  </x:conditionalFormatting>
  <x:conditionalFormatting sqref="F106:F106">
    <x:cfRule type="expression" dxfId="3048" priority="177">
      <x:formula>F106="P0"</x:formula>
    </x:cfRule>
    <x:cfRule type="expression" dxfId="3049" priority="178">
      <x:formula>F106="P1"</x:formula>
    </x:cfRule>
  </x:conditionalFormatting>
  <x:conditionalFormatting sqref="E106:E106">
    <x:cfRule type="expression" dxfId="3050" priority="179">
      <x:formula>ISNUMBER(SEARCH("CANONICAL",E106))</x:formula>
    </x:cfRule>
    <x:cfRule type="expression" dxfId="3051" priority="180">
      <x:formula>ISNUMBER(SEARCH("PROD REVIEW",E106))</x:formula>
    </x:cfRule>
  </x:conditionalFormatting>
  <x:conditionalFormatting sqref="F107:F107">
    <x:cfRule type="expression" dxfId="3052" priority="181">
      <x:formula>F107="P0"</x:formula>
    </x:cfRule>
    <x:cfRule type="expression" dxfId="3053" priority="182">
      <x:formula>F107="P1"</x:formula>
    </x:cfRule>
  </x:conditionalFormatting>
  <x:conditionalFormatting sqref="E107:E107">
    <x:cfRule type="expression" dxfId="3054" priority="183">
      <x:formula>ISNUMBER(SEARCH("CANONICAL",E107))</x:formula>
    </x:cfRule>
    <x:cfRule type="expression" dxfId="3055" priority="184">
      <x:formula>ISNUMBER(SEARCH("PROD REVIEW",E107))</x:formula>
    </x:cfRule>
  </x:conditionalFormatting>
  <x:conditionalFormatting sqref="F108:F108">
    <x:cfRule type="expression" dxfId="3056" priority="185">
      <x:formula>F108="P0"</x:formula>
    </x:cfRule>
    <x:cfRule type="expression" dxfId="3057" priority="186">
      <x:formula>F108="P1"</x:formula>
    </x:cfRule>
  </x:conditionalFormatting>
  <x:conditionalFormatting sqref="E108:E108">
    <x:cfRule type="expression" dxfId="3058" priority="187">
      <x:formula>ISNUMBER(SEARCH("CANONICAL",E108))</x:formula>
    </x:cfRule>
    <x:cfRule type="expression" dxfId="3059" priority="188">
      <x:formula>ISNUMBER(SEARCH("PROD REVIEW",E108))</x:formula>
    </x:cfRule>
  </x:conditionalFormatting>
  <x:conditionalFormatting sqref="F109:F109">
    <x:cfRule type="expression" dxfId="3060" priority="189">
      <x:formula>F109="P0"</x:formula>
    </x:cfRule>
    <x:cfRule type="expression" dxfId="3061" priority="190">
      <x:formula>F109="P1"</x:formula>
    </x:cfRule>
  </x:conditionalFormatting>
  <x:conditionalFormatting sqref="E109:E109">
    <x:cfRule type="expression" dxfId="3062" priority="191">
      <x:formula>ISNUMBER(SEARCH("CANONICAL",E109))</x:formula>
    </x:cfRule>
    <x:cfRule type="expression" dxfId="3063" priority="192">
      <x:formula>ISNUMBER(SEARCH("PROD REVIEW",E109))</x:formula>
    </x:cfRule>
  </x:conditionalFormatting>
  <x:conditionalFormatting sqref="F110:F110">
    <x:cfRule type="expression" dxfId="3064" priority="193">
      <x:formula>F110="P0"</x:formula>
    </x:cfRule>
    <x:cfRule type="expression" dxfId="3065" priority="194">
      <x:formula>F110="P1"</x:formula>
    </x:cfRule>
  </x:conditionalFormatting>
  <x:conditionalFormatting sqref="E110:E110">
    <x:cfRule type="expression" dxfId="3066" priority="195">
      <x:formula>ISNUMBER(SEARCH("CANONICAL",E110))</x:formula>
    </x:cfRule>
    <x:cfRule type="expression" dxfId="3067" priority="196">
      <x:formula>ISNUMBER(SEARCH("PROD REVIEW",E110))</x:formula>
    </x:cfRule>
  </x:conditionalFormatting>
  <x:conditionalFormatting sqref="F111:F111">
    <x:cfRule type="expression" dxfId="3068" priority="197">
      <x:formula>F111="P0"</x:formula>
    </x:cfRule>
    <x:cfRule type="expression" dxfId="3069" priority="198">
      <x:formula>F111="P1"</x:formula>
    </x:cfRule>
  </x:conditionalFormatting>
  <x:conditionalFormatting sqref="E111:E111">
    <x:cfRule type="expression" dxfId="3070" priority="199">
      <x:formula>ISNUMBER(SEARCH("CANONICAL",E111))</x:formula>
    </x:cfRule>
    <x:cfRule type="expression" dxfId="3071" priority="200">
      <x:formula>ISNUMBER(SEARCH("PROD REVIEW",E111))</x:formula>
    </x:cfRule>
  </x:conditionalFormatting>
  <x:conditionalFormatting sqref="F112:F112">
    <x:cfRule type="expression" dxfId="3072" priority="201">
      <x:formula>F112="P0"</x:formula>
    </x:cfRule>
    <x:cfRule type="expression" dxfId="3073" priority="202">
      <x:formula>F112="P1"</x:formula>
    </x:cfRule>
  </x:conditionalFormatting>
  <x:conditionalFormatting sqref="E112:E112">
    <x:cfRule type="expression" dxfId="3074" priority="203">
      <x:formula>ISNUMBER(SEARCH("CANONICAL",E112))</x:formula>
    </x:cfRule>
    <x:cfRule type="expression" dxfId="3075" priority="204">
      <x:formula>ISNUMBER(SEARCH("PROD REVIEW",E112))</x:formula>
    </x:cfRule>
  </x:conditionalFormatting>
  <x:conditionalFormatting sqref="F113:F113">
    <x:cfRule type="expression" dxfId="3076" priority="205">
      <x:formula>F113="P0"</x:formula>
    </x:cfRule>
    <x:cfRule type="expression" dxfId="3077" priority="206">
      <x:formula>F113="P1"</x:formula>
    </x:cfRule>
  </x:conditionalFormatting>
  <x:conditionalFormatting sqref="E113:E113">
    <x:cfRule type="expression" dxfId="3078" priority="207">
      <x:formula>ISNUMBER(SEARCH("CANONICAL",E113))</x:formula>
    </x:cfRule>
    <x:cfRule type="expression" dxfId="3079" priority="208">
      <x:formula>ISNUMBER(SEARCH("PROD REVIEW",E113))</x:formula>
    </x:cfRule>
  </x:conditionalFormatting>
  <x:conditionalFormatting sqref="F114:F114">
    <x:cfRule type="expression" dxfId="3080" priority="209">
      <x:formula>F114="P0"</x:formula>
    </x:cfRule>
    <x:cfRule type="expression" dxfId="3081" priority="210">
      <x:formula>F114="P1"</x:formula>
    </x:cfRule>
  </x:conditionalFormatting>
  <x:conditionalFormatting sqref="E114:E114">
    <x:cfRule type="expression" dxfId="3082" priority="211">
      <x:formula>ISNUMBER(SEARCH("CANONICAL",E114))</x:formula>
    </x:cfRule>
    <x:cfRule type="expression" dxfId="3083" priority="212">
      <x:formula>ISNUMBER(SEARCH("PROD REVIEW",E114))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24722694ea145a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0" hidden="0" customWidth="1"/>
    <x:col min="3" max="3" width="44" hidden="0" customWidth="1"/>
  </x:cols>
  <x:sheetData>
    <x:row r="1">
      <x:c r="A1" s="4" t="str">
        <x:v>Rol</x:v>
      </x:c>
      <x:c r="B1" s="4" t="str">
        <x:v>Önerilen Okuma Yolu</x:v>
      </x:c>
      <x:c r="C1" s="4" t="str">
        <x:v>Ana Dosya</x:v>
      </x:c>
    </x:row>
    <x:row r="2">
      <x:c r="A2" s="8" t="str">
        <x:v>PO / BA</x:v>
      </x:c>
      <x:c r="B2" s="8" t="str">
        <x:v>00.03 → 01.01 → 04.01 → 05.01 → 06.01 → 07-10 → 11.01 → 12.01 → 13.02-13.06 → 14.01/14.02 → 18.01-18.04 → 19-23 → 25.02 → 26.01/26.02 → 27.01–29.02 → 31.01–48.02 → 49.01–50.03</x:v>
      </x:c>
      <x:c r="C2" s="8" t="str">
        <x:v>11.01 + 13.06 + 14.02 + 30.01</x:v>
      </x:c>
    </x:row>
    <x:row r="3">
      <x:c r="A3" s="8" t="str">
        <x:v>Backend / Architect / DBA</x:v>
      </x:c>
      <x:c r="B3" s="8" t="str">
        <x:v>00.03 → 05.01 → 06.01 → 09.01 → 11.01 → 13.05/13.06 → 14.01 → 14.02 → 15.01 → 16.01 → 18.02/18.04 → 23.01/23.03-23.06 → 26.01/26.02 → 27.01–29.02 → 31.01–48.02 → 49.01–50.03</x:v>
      </x:c>
      <x:c r="C3" s="8" t="str">
        <x:v>14.01 + 14.02 + 15/16 + 30.01</x:v>
      </x:c>
    </x:row>
    <x:row r="4">
      <x:c r="A4" s="8" t="str">
        <x:v>Frontend / UX</x:v>
      </x:c>
      <x:c r="B4" s="8" t="str">
        <x:v>00.03 → 01.01 → 05.01 → 06.01 → 11.01 → 12.01 → 13.02 → 13.04 → 13.05 → 13.06 → 15.01 → 26.01/26.02 → 27.01–29.02 → 31.01–48.02 → 49.01–50.03</x:v>
      </x:c>
      <x:c r="C4" s="8" t="str">
        <x:v>12.01 + 13.04 + 13.05 + 30.01</x:v>
      </x:c>
    </x:row>
    <x:row r="5">
      <x:c r="A5" s="8" t="str">
        <x:v>QA</x:v>
      </x:c>
      <x:c r="B5" s="8" t="str">
        <x:v>00.03 → 05.01 → 06.01 → 07-11 → 12.01/13.02/13.05/13.06 → 14.02 → 19.01 → 20.01 → 23.01 → 23.03-23.06 → 25.02 → 26.01/26.02 → 27.01–29.02 → 31.01–48.02 → 49.01–50.03</x:v>
      </x:c>
      <x:c r="C5" s="8" t="str">
        <x:v>11.01 + 13.06 + 14.02 + 19/20 + 30.01</x:v>
      </x:c>
    </x:row>
    <x:row r="6">
      <x:c r="A6" s="8" t="str">
        <x:v>Regulatory / Marine SME</x:v>
      </x:c>
      <x:c r="B6" s="8" t="str">
        <x:v>00.03 → 01.01 → 01.03 → 07.01 → 08.01 → 09.01 → 10.01-10.03 → 13.06 → 21.01 → 22.01 → 25.02 → 49.01–50.03</x:v>
      </x:c>
      <x:c r="C6" s="8" t="str">
        <x:v>07-10 + 13.06 + 30.01</x:v>
      </x:c>
    </x:row>
    <x:row r="7">
      <x:c r="A7" s="8" t="str">
        <x:v>Yönetim / Satış</x:v>
      </x:c>
      <x:c r="B7" s="8" t="str">
        <x:v>00.03 → 01.01 → 03.02 → 04.01 → 05.01 → 24.01</x:v>
      </x:c>
      <x:c r="C7" s="8" t="str">
        <x:v>24.01 Presentation + 30.01</x:v>
      </x:c>
    </x:row>
    <x:row r="8">
      <x:c r="A8" s="8" t="str">
        <x:v>Pilot / Customer Onboarding</x:v>
      </x:c>
      <x:c r="B8" s="8" t="str">
        <x:v>00.03 → 01.01 → 12.01 → 13.03 → 13.06 → 18.03 → 19.01 → 20.01 → 21/22 → 23.03-23.06 → 25.02</x:v>
      </x:c>
      <x:c r="C8" s="8" t="str">
        <x:v>13.03 + 18.03 + 20.01 + 30.01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5" hidden="0" customWidth="1"/>
    <x:col min="3" max="3" width="82" hidden="0" customWidth="1"/>
  </x:cols>
  <x:sheetData>
    <x:row r="1">
      <x:c r="A1" s="4" t="str">
        <x:v>Klasör</x:v>
      </x:c>
      <x:c r="B1" s="4" t="str">
        <x:v>Amaç</x:v>
      </x:c>
      <x:c r="C1" s="4" t="str">
        <x:v>Kural</x:v>
      </x:c>
    </x:row>
    <x:row r="2">
      <x:c r="A2" s="8" t="str">
        <x:v>00_START_HERE</x:v>
      </x:c>
      <x:c r="B2" s="8" t="str">
        <x:v>Başlangıç, teslim özeti ve register</x:v>
      </x:c>
      <x:c r="C2" s="8" t="str">
        <x:v>00.01 ile başla; güncel değişiklikler için 00.03, dosya seçimi için 00.02.</x:v>
      </x:c>
    </x:row>
    <x:row r="3">
      <x:c r="A3" s="8" t="str">
        <x:v>01_BUSINESS_DOMAIN</x:v>
      </x:c>
      <x:c r="B3" s="8" t="str">
        <x:v>Denizcilik business/domain</x:v>
      </x:c>
      <x:c r="C3" s="8" t="str">
        <x:v>Teknik tasarımdan önce business'ı öğren.</x:v>
      </x:c>
    </x:row>
    <x:row r="4">
      <x:c r="A4" s="8" t="str">
        <x:v>02_PRODUCT_STRATEGY_SCOPE</x:v>
      </x:c>
      <x:c r="B4" s="8" t="str">
        <x:v>Rakip, scope, ürün kararı</x:v>
      </x:c>
      <x:c r="C4" s="8" t="str">
        <x:v>Kapsam kararlarını burada kontrol et.</x:v>
      </x:c>
    </x:row>
    <x:row r="5">
      <x:c r="A5" s="8" t="str">
        <x:v>03_REQUIREMENTS_REGULATORY</x:v>
      </x:c>
      <x:c r="B5" s="8" t="str">
        <x:v>PRD + legal + applicability + trace</x:v>
      </x:c>
      <x:c r="C5" s="8" t="str">
        <x:v>Geliştirme gereksinimi burada doğar.</x:v>
      </x:c>
    </x:row>
    <x:row r="6">
      <x:c r="A6" s="8" t="str">
        <x:v>04_UX_PRODUCT_DESIGN</x:v>
      </x:c>
      <x:c r="B6" s="8" t="str">
        <x:v>Prototype, kullanım, ekran kataloğu, rol el kitabı, design system, menu ağacı, modül/süreç master</x:v>
      </x:c>
      <x:c r="C6" s="8" t="str">
        <x:v>Mevcut prototip/UX korunur; 50.01/50.02 çalışma izni ve risk değerlendirme form tasarımı önerisi, çalışan ekran değildir.</x:v>
      </x:c>
    </x:row>
    <x:row r="7">
      <x:c r="A7" s="8" t="str">
        <x:v>05_TECHNICAL_ARCHITECTURE</x:v>
      </x:c>
      <x:c r="B7" s="8" t="str">
        <x:v>ERD, Data Dictionary, API, OpenAPI, AI-data</x:v>
      </x:c>
      <x:c r="C7" s="8" t="str">
        <x:v>14.02 kaynak korunur; 49.01/49.02 alan/katalog/eşleme ve kabul önerisi. Üretim lookup onayı değildir.</x:v>
      </x:c>
    </x:row>
    <x:row r="8">
      <x:c r="A8" s="8" t="str">
        <x:v>06_DEVELOPMENT</x:v>
      </x:c>
      <x:c r="B8" s="8" t="str">
        <x:v>Backlog/change/migration/integration ve ilk kaynak kod dilimi</x:v>
      </x:c>
      <x:c r="C8" s="8" t="str">
        <x:v>26.01 tek kayıt /151 kaynak; dd504 ile aynı. 49/50 önerileri kaynak ağacına uygulanmadı.</x:v>
      </x:c>
    </x:row>
    <x:row r="9">
      <x:c r="A9" s="8" t="str">
        <x:v>07_TEST_PILOT_RELEASE</x:v>
      </x:c>
      <x:c r="B9" s="8" t="str">
        <x:v>Test/UAT/pilot/sign-off/cert/CI/deployment/DR/support/security</x:v>
      </x:c>
      <x:c r="C9" s="8" t="str">
        <x:v>27–48 özgün runtime/test kanıtları korunur. Yeni analizler önceki testleri yeniden koşulmuş saymaz.</x:v>
      </x:c>
    </x:row>
    <x:row r="10">
      <x:c r="A10" s="8" t="str">
        <x:v>08_MANAGEMENT_CONTROL</x:v>
      </x:c>
      <x:c r="B10" s="8" t="str">
        <x:v>Sunum ve manifest</x:v>
      </x:c>
      <x:c r="C10" s="8" t="str">
        <x:v>Yönetim özeti, kontrollü durum ve 30.01 tam ürün teslim yol haritası. Plan, release onayı değildir.</x:v>
      </x:c>
    </x:row>
    <x:row r="11">
      <x:c r="A11" s="8" t="str">
        <x:v>90_SOURCE_RESEARCH</x:v>
      </x:c>
      <x:c r="B11" s="8" t="str">
        <x:v>Araştırma/reference</x:v>
      </x:c>
      <x:c r="C11" s="8" t="str">
        <x:v>49.03 ve50.03 özgün araştırma/teknik öneri/düzeltme izi. Kaynak incelemesi hukuk veya üretim onayı değildir.</x:v>
      </x:c>
    </x:row>
    <x:row r="12">
      <x:c r="A12" s="8" t="str">
        <x:v>99_ARCHIVE</x:v>
      </x:c>
      <x:c r="B12" s="8" t="str">
        <x:v>Eski sürüm kuralları</x:v>
      </x:c>
      <x:c r="C12" s="8" t="str">
        <x:v>Current geliştirmede kullanılmaz.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4" max="4" width="40" hidden="0" customWidth="1"/>
    <x:col min="5" max="5" width="12" hidden="0" customWidth="1"/>
  </x:cols>
  <x:sheetData>
    <x:row r="1">
      <x:c r="A1" s="11" t="str">
        <x:v>POSEIDON v46.3 — Controlled Document Set Dashboard</x:v>
      </x:c>
      <x:c r="B1" s="11"/>
      <x:c r="C1" s="11"/>
      <x:c r="D1" s="11"/>
      <x:c r="E1" s="11"/>
      <x:c r="F1" s="11"/>
      <x:c r="G1" s="11"/>
      <x:c r="H1" s="11"/>
    </x:row>
    <x:row r="3">
      <x:c r="A3" s="15" t="str">
        <x:v>KPI</x:v>
      </x:c>
      <x:c r="B3" s="15" t="str">
        <x:v>Değer</x:v>
      </x:c>
      <x:c r="D3" s="15" t="str">
        <x:v>Status</x:v>
      </x:c>
      <x:c r="E3" s="15" t="str">
        <x:v>Adet</x:v>
      </x:c>
    </x:row>
    <x:row r="4">
      <x:c r="A4" t="str">
        <x:v>Toplam kayıt</x:v>
      </x:c>
      <x:c r="B4" t="n">
        <x:f>COUNTA('Controlled Register'!A2:A114)</x:f>
        <x:v>113</x:v>
      </x:c>
      <x:c r="D4" t="str">
        <x:v>CURRENT-CANONICAL</x:v>
      </x:c>
      <x:c r="E4" t="n">
        <x:f>COUNTIFS('Controlled Register'!E2:E114,D4)</x:f>
        <x:v>24</x:v>
      </x:c>
    </x:row>
    <x:row r="5">
      <x:c r="A5" t="str">
        <x:v>P0</x:v>
      </x:c>
      <x:c r="B5" t="n">
        <x:f>COUNTIFS('Controlled Register'!F2:F114,A5)</x:f>
        <x:v>94</x:v>
      </x:c>
      <x:c r="D5" t="str">
        <x:v>CURRENT-EXECUTION</x:v>
      </x:c>
      <x:c r="E5" t="n">
        <x:f>COUNTIFS('Controlled Register'!E2:E114,D5)</x:f>
        <x:v>57</x:v>
      </x:c>
    </x:row>
    <x:row r="6">
      <x:c r="A6" t="str">
        <x:v>P1</x:v>
      </x:c>
      <x:c r="B6" t="n">
        <x:f>COUNTIFS('Controlled Register'!F2:F114,A6)</x:f>
        <x:v>16</x:v>
      </x:c>
      <x:c r="D6" t="str">
        <x:v>CURRENT-CONTRACT</x:v>
      </x:c>
      <x:c r="E6" t="n">
        <x:f>COUNTIFS('Controlled Register'!E2:E114,D6)</x:f>
        <x:v>7</x:v>
      </x:c>
    </x:row>
    <x:row r="7">
      <x:c r="A7" t="str">
        <x:v>P2</x:v>
      </x:c>
      <x:c r="B7" t="n">
        <x:f>COUNTIFS('Controlled Register'!F2:F114,A7)</x:f>
        <x:v>3</x:v>
      </x:c>
      <x:c r="D7" t="str">
        <x:v>CURRENT-SUPPORTING</x:v>
      </x:c>
      <x:c r="E7" t="n">
        <x:f>COUNTIFS('Controlled Register'!E2:E114,D7)</x:f>
        <x:v>6</x:v>
      </x:c>
    </x:row>
    <x:row r="8">
      <x:c r="A8" t="str">
        <x:v>Yeni master/data dictionary</x:v>
      </x:c>
      <x:c r="B8" t="n">
        <x:v>2</x:v>
      </x:c>
      <x:c r="D8" t="str">
        <x:v>CURRENT-REFERENCE</x:v>
      </x:c>
      <x:c r="E8" t="n">
        <x:f>COUNTIFS('Controlled Register'!E2:E114,D8)</x:f>
        <x:v>6</x:v>
      </x:c>
    </x:row>
    <x:row r="9">
      <x:c r="D9" t="str">
        <x:v>CURRENT-ANALYSIS</x:v>
      </x:c>
      <x:c r="E9" t="n">
        <x:f>COUNTIFS('Controlled Register'!E2:E114,D9)</x:f>
        <x:v>7</x:v>
      </x:c>
    </x:row>
    <x:row r="10">
      <x:c r="D10" t="str">
        <x:v>REFERENCE-ONLY</x:v>
      </x:c>
      <x:c r="E10" t="n">
        <x:f>COUNTIFS('Controlled Register'!E2:E114,D10)</x:f>
        <x:v>2</x:v>
      </x:c>
    </x:row>
    <x:row r="11">
      <x:c r="D11" t="str">
        <x:v>CURRENT-SUPPORTING / REFRESH GATE</x:v>
      </x:c>
      <x:c r="E11" t="n">
        <x:f>COUNTIFS('Controlled Register'!E2:E114,D11)</x:f>
        <x:v>1</x:v>
      </x:c>
    </x:row>
    <x:row r="12">
      <x:c r="D12" t="str">
        <x:v>CURRENT-CONTRACT / REVIEW</x:v>
      </x:c>
      <x:c r="E12" t="n">
        <x:f>COUNTIFS('Controlled Register'!E2:E114,D12)</x:f>
        <x:v>1</x:v>
      </x:c>
    </x:row>
    <x:row r="13">
      <x:c r="D13" t="str">
        <x:v>CURRENT-CANONICAL / PROD REVIEW</x:v>
      </x:c>
      <x:c r="E13" t="n">
        <x:f>COUNTIFS('Controlled Register'!E2:E114,D13)</x:f>
        <x:v>1</x:v>
      </x:c>
    </x:row>
    <x:row r="14">
      <x:c r="D14" t="str">
        <x:v>ARCHIVE</x:v>
      </x:c>
      <x:c r="E14" t="n">
        <x:f>COUNTIFS('Controlled Register'!E2:E114,D14)</x:f>
        <x:v>1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a0e73800951b4ea5"/>
</x:worksheet>
</file>