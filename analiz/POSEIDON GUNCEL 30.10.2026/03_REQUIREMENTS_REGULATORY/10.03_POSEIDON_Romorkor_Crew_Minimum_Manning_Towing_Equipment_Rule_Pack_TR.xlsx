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3d19886ce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35aef84ff9e24002"/>
    <x:sheet xmlns:r="http://schemas.openxmlformats.org/officeDocument/2006/relationships" name="Güverte Donatım" sheetId="2" r:id="R0e02ce899645441c"/>
    <x:sheet xmlns:r="http://schemas.openxmlformats.org/officeDocument/2006/relationships" name="Makine Donatım" sheetId="3" r:id="R3a7f7c97a7fe449d"/>
    <x:sheet xmlns:r="http://schemas.openxmlformats.org/officeDocument/2006/relationships" name="Donatım Notları" sheetId="4" r:id="R8a4a2da1e50c40c9"/>
    <x:sheet xmlns:r="http://schemas.openxmlformats.org/officeDocument/2006/relationships" name="Eligibility Engine" sheetId="5" r:id="R4fae5aaa7cc247e7"/>
    <x:sheet xmlns:r="http://schemas.openxmlformats.org/officeDocument/2006/relationships" name="Towing Equipment Rule Pack" sheetId="6" r:id="R7fcc1b3fce2a404d"/>
    <x:sheet xmlns:r="http://schemas.openxmlformats.org/officeDocument/2006/relationships" name="2025 Hizmet Yükümlülükleri" sheetId="7" r:id="Rd394f91acaf84fe8"/>
    <x:sheet xmlns:r="http://schemas.openxmlformats.org/officeDocument/2006/relationships" name="FR Test Binding" sheetId="8" r:id="R4d8a247e5c264b57"/>
    <x:sheet xmlns:r="http://schemas.openxmlformats.org/officeDocument/2006/relationships" name="Açık Doğrulama" sheetId="9" r:id="R4a5fdf6839144181"/>
    <x:sheet xmlns:r="http://schemas.openxmlformats.org/officeDocument/2006/relationships" name="Dashboard" sheetId="10" r:id="R21ff132875db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  <x:dxfs count="6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bd2ebf4154fc6" /><Relationship Type="http://schemas.openxmlformats.org/officeDocument/2006/relationships/theme" Target="/xl/theme/theme1.xml" Id="Re831e713498a45f1" /><Relationship Type="http://schemas.openxmlformats.org/officeDocument/2006/relationships/sharedStrings" Target="/xl/sharedStrings.xml" Id="R5f53bc9e660f4108" /><Relationship Type="http://schemas.openxmlformats.org/officeDocument/2006/relationships/worksheet" Target="/xl/worksheets/sheet1.xml" Id="R35aef84ff9e24002" /><Relationship Type="http://schemas.openxmlformats.org/officeDocument/2006/relationships/worksheet" Target="/xl/worksheets/sheet2.xml" Id="R0e02ce899645441c" /><Relationship Type="http://schemas.openxmlformats.org/officeDocument/2006/relationships/worksheet" Target="/xl/worksheets/sheet3.xml" Id="R3a7f7c97a7fe449d" /><Relationship Type="http://schemas.openxmlformats.org/officeDocument/2006/relationships/worksheet" Target="/xl/worksheets/sheet4.xml" Id="R8a4a2da1e50c40c9" /><Relationship Type="http://schemas.openxmlformats.org/officeDocument/2006/relationships/worksheet" Target="/xl/worksheets/sheet5.xml" Id="R4fae5aaa7cc247e7" /><Relationship Type="http://schemas.openxmlformats.org/officeDocument/2006/relationships/worksheet" Target="/xl/worksheets/sheet6.xml" Id="R7fcc1b3fce2a404d" /><Relationship Type="http://schemas.openxmlformats.org/officeDocument/2006/relationships/worksheet" Target="/xl/worksheets/sheet7.xml" Id="Rd394f91acaf84fe8" /><Relationship Type="http://schemas.openxmlformats.org/officeDocument/2006/relationships/worksheet" Target="/xl/worksheets/sheet8.xml" Id="R4d8a247e5c264b57" /><Relationship Type="http://schemas.openxmlformats.org/officeDocument/2006/relationships/worksheet" Target="/xl/worksheets/sheet9.xml" Id="R4a5fdf6839144181" /><Relationship Type="http://schemas.openxmlformats.org/officeDocument/2006/relationships/worksheet" Target="/xl/worksheets/sheet10.xml" Id="R21ff132875db48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ef32478293c45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Rule Pack Coverage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Rows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f32478293c45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ugDeckManning" displayName="TugDeckManning" ref="A1:N13" headerRowCount="1" totalsRowCount="0" totalsRowShown="0">
  <x:tableColumns count="14">
    <x:tableColumn id="1" name="Rule ID"/>
    <x:tableColumn id="2" name="Sefer Bölgesi"/>
    <x:tableColumn id="3" name="GT Alt"/>
    <x:tableColumn id="4" name="GT Üst Hariç"/>
    <x:tableColumn id="5" name="Kaptan"/>
    <x:tableColumn id="6" name="Birinci Zabit"/>
    <x:tableColumn id="7" name="Vardiya Zabiti"/>
    <x:tableColumn id="8" name="Güverte Tayfası G1"/>
    <x:tableColumn id="9" name="Güverte Tayfası G2"/>
    <x:tableColumn id="10" name="Yayınlanan Toplam"/>
    <x:tableColumn id="11" name="Hesap Toplam"/>
    <x:tableColumn id="12" name="Check"/>
    <x:tableColumn id="13" name="Source Status"/>
    <x:tableColumn id="1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ugEngineManning" displayName="TugEngineManning" ref="A1:N13" headerRowCount="1" totalsRowCount="0" totalsRowShown="0">
  <x:tableColumns count="14">
    <x:tableColumn id="1" name="Rule ID"/>
    <x:tableColumn id="2" name="Sefer Bölgesi"/>
    <x:tableColumn id="3" name="kW Alt"/>
    <x:tableColumn id="4" name="kW Üst Hariç"/>
    <x:tableColumn id="5" name="Başmüh./Başmak."/>
    <x:tableColumn id="6" name="İkinci Müh./Mak."/>
    <x:tableColumn id="7" name="Makine Zabiti"/>
    <x:tableColumn id="8" name="Makine Tayfası G1"/>
    <x:tableColumn id="9" name="Makine Tayfası G2"/>
    <x:tableColumn id="10" name="Yayınlanan Toplam"/>
    <x:tableColumn id="11" name="Hesap Toplam"/>
    <x:tableColumn id="12" name="Check"/>
    <x:tableColumn id="13" name="Source Status"/>
    <x:tableColumn id="1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wingEquipmentRules" displayName="TowingEquipmentRules" ref="A1:L15" headerRowCount="1" totalsRowCount="0" totalsRowShown="0">
  <x:tableColumns count="12">
    <x:tableColumn id="1" name="Rule ID"/>
    <x:tableColumn id="2" name="Equipment / Topic"/>
    <x:tableColumn id="3" name="Applicability"/>
    <x:tableColumn id="4" name="Requirement / Control"/>
    <x:tableColumn id="5" name="POSEIDON State"/>
    <x:tableColumn id="6" name="Evidence"/>
    <x:tableColumn id="7" name="Verification"/>
    <x:tableColumn id="8" name="Screen / Field"/>
    <x:tableColumn id="9" name="FR ID"/>
    <x:tableColumn id="10" name="Test ID"/>
    <x:tableColumn id="11" name="Source status"/>
    <x:tableColumn id="12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4fb1aff54c4a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45c71132124d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c0c5fd7282fb4c8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ca3d85c3bc94871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0" hidden="0" customWidth="1"/>
  </x:cols>
  <x:sheetData>
    <x:row r="1">
      <x:c r="A1" s="8" t="str">
        <x:v>POSEIDON v46.2</x:v>
      </x:c>
      <x:c r="B1" s="8" t="str">
        <x:v>Römorkör Crew / Minimum Manning + Towing Equipment Rule Pack</x:v>
      </x:c>
    </x:row>
    <x:row r="2">
      <x:c r="A2" s="9" t="str">
        <x:v>Kontrollü tarih</x:v>
      </x:c>
      <x:c r="B2" s="10" t="str">
        <x:v>4 Ekim 2026</x:v>
      </x:c>
    </x:row>
    <x:row r="3">
      <x:c r="A3" s="9" t="str">
        <x:v>Scope</x:v>
      </x:c>
      <x:c r="B3" s="10" t="str">
        <x:v>Römorkör Modu; Gemi + Römorkör ortak çekirdeği</x:v>
      </x:c>
    </x:row>
    <x:row r="4">
      <x:c r="A4" s="9" t="str">
        <x:v>Crew primary evidence</x:v>
      </x:c>
      <x:c r="B4" s="10" t="str">
        <x:v>Vessel-specific Gemiadamı Donatımında Asgari Emniyet Belgesi / Minimum Safe Manning Document</x:v>
      </x:c>
    </x:row>
    <x:row r="5">
      <x:c r="A5" s="9" t="str">
        <x:v>Default reference</x:v>
      </x:c>
      <x:c r="B5" s="10" t="str">
        <x:v>UAB Gemilerin Gemiadamları ile Donatılmasına İlişkin Yönerge, Çizelge 11</x:v>
      </x:c>
    </x:row>
    <x:row r="6">
      <x:c r="A6" s="9" t="str">
        <x:v>Source status</x:v>
      </x:c>
      <x:c r="B6" s="10" t="str">
        <x:v>CURRENT_LINKED_UNDER_REVISION — UAB güncel sayfaları halen mevcut yönergeyi bağlıyor; 2026 replacement draft görüşe açıldı</x:v>
      </x:c>
    </x:row>
    <x:row r="7">
      <x:c r="A7" s="9" t="str">
        <x:v>Eligibility rule</x:v>
      </x:c>
      <x:c r="B7" s="10" t="str">
        <x:v>MSMD + current certificate/limitations + health + training/competence + familiarization + work/rest</x:v>
      </x:c>
    </x:row>
    <x:row r="8">
      <x:c r="A8" s="9" t="str">
        <x:v>Tug equipment pack</x:v>
      </x:c>
      <x:c r="B8" s="10" t="str">
        <x:v>Bollard pull, towing winch, emergency release, towline/tow hook, FiFi, PMS/defect, class survey</x:v>
      </x:c>
    </x:row>
    <x:row r="9">
      <x:c r="A9" s="9" t="str">
        <x:v>2025 service overlay</x:v>
      </x:c>
      <x:c r="B9" s="10" t="str">
        <x:v>7/24 service, emergency support, 24h written reporting, BP certificate/class/fire/P&amp;I, emergency planning</x:v>
      </x:c>
    </x:row>
    <x:row r="10">
      <x:c r="A10" s="9" t="str">
        <x:v>Safety invariant</x:v>
      </x:c>
      <x:c r="B10" s="10" t="str">
        <x:v>Belirsiz kaynak veya çelişkili belge → REVIEW_REQUIRED; critical blocker READY üretemez</x:v>
      </x:c>
    </x:row>
    <x:row r="11">
      <x:c r="A11" s="9"/>
      <x:c r="B11" s="10"/>
    </x:row>
    <x:row r="12">
      <x:c r="A12" s="9"/>
      <x:c r="B12" s="10"/>
    </x:row>
    <x:row r="13">
      <x:c r="A13" s="9"/>
      <x:c r="B13" s="10"/>
    </x:row>
    <x:row r="14">
      <x:c r="A14" s="9"/>
      <x:c r="B14" s="10"/>
    </x:row>
    <x:row r="15">
      <x:c r="A15" s="9"/>
      <x:c r="B15" s="10"/>
    </x:row>
    <x:row r="16">
      <x:c r="A16" s="9"/>
      <x:c r="B16" s="10"/>
    </x:row>
    <x:row r="17">
      <x:c r="A17" s="9"/>
      <x:c r="B17" s="10"/>
    </x:row>
    <x:row r="18">
      <x:c r="A18" s="9"/>
      <x:c r="B18" s="10"/>
    </x:row>
    <x:row r="19">
      <x:c r="A19" s="9"/>
      <x:c r="B19" s="10"/>
    </x:row>
    <x:row r="20">
      <x:c r="A20" s="9"/>
      <x:c r="B2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30" hidden="0" customWidth="1"/>
    <x:col min="14" max="14" width="76" hidden="0" customWidth="1"/>
  </x:cols>
  <x:sheetData>
    <x:row r="1">
      <x:c r="A1" s="16" t="str">
        <x:v>Rule ID</x:v>
      </x:c>
      <x:c r="B1" s="16" t="str">
        <x:v>Sefer Bölgesi</x:v>
      </x:c>
      <x:c r="C1" s="16" t="str">
        <x:v>GT Alt</x:v>
      </x:c>
      <x:c r="D1" s="16" t="str">
        <x:v>GT Üst Hariç</x:v>
      </x:c>
      <x:c r="E1" s="16" t="str">
        <x:v>Kaptan</x:v>
      </x:c>
      <x:c r="F1" s="16" t="str">
        <x:v>Birinci Zabit</x:v>
      </x:c>
      <x:c r="G1" s="16" t="str">
        <x:v>Vardiya Zabiti</x:v>
      </x:c>
      <x:c r="H1" s="16" t="str">
        <x:v>Güverte Tayfası G1</x:v>
      </x:c>
      <x:c r="I1" s="16" t="str">
        <x:v>Güverte Tayfası G2</x:v>
      </x:c>
      <x:c r="J1" s="16" t="str">
        <x:v>Yayınlanan Toplam</x:v>
      </x:c>
      <x:c r="K1" s="16" t="str">
        <x:v>Hesap Toplam</x:v>
      </x:c>
      <x:c r="L1" s="16" t="str">
        <x:v>Check</x:v>
      </x:c>
      <x:c r="M1" s="16" t="str">
        <x:v>Source Status</x:v>
      </x:c>
      <x:c r="N1" s="16" t="str">
        <x:v>Source URL</x:v>
      </x:c>
    </x:row>
    <x:row r="2">
      <x:c r="A2" s="10" t="str">
        <x:v>TUG-DECK-UZAK-3000</x:v>
      </x:c>
      <x:c r="B2" s="10" t="str">
        <x:v>Uzak</x:v>
      </x:c>
      <x:c r="C2" s="10" t="n">
        <x:v>3000</x:v>
      </x:c>
      <x:c r="D2" s="10"/>
      <x:c r="E2" s="10" t="n">
        <x:v>1</x:v>
      </x:c>
      <x:c r="F2" s="10" t="n">
        <x:v>1</x:v>
      </x:c>
      <x:c r="G2" s="10" t="n">
        <x:v>0</x:v>
      </x:c>
      <x:c r="H2" s="10" t="n">
        <x:v>2</x:v>
      </x:c>
      <x:c r="I2" s="10" t="n">
        <x:v>0</x:v>
      </x:c>
      <x:c r="J2" s="10" t="n">
        <x:v>4</x:v>
      </x:c>
      <x:c r="K2" s="10" t="n">
        <x:f>SUM(E2:I2)</x:f>
        <x:v>4</x:v>
      </x:c>
      <x:c r="L2" s="10" t="str">
        <x:f>IF(J2=K2,"PASS","CHECK")</x:f>
        <x:v>PASS</x:v>
      </x:c>
      <x:c r="M2" s="10" t="str">
        <x:v>CURRENT_LINKED_UNDER_REVISION</x:v>
      </x:c>
      <x:c r="N2" s="10" t="str">
        <x:v>https://denizcilik.uab.gov.tr/uploads/pages/yonerge-talimat/gemilerin-gemiadamlari-ile-donatilmasina-iliskin-yonerge.pdf</x:v>
      </x:c>
    </x:row>
    <x:row r="3">
      <x:c r="A3" s="10" t="str">
        <x:v>TUG-DECK-UZAK-500</x:v>
      </x:c>
      <x:c r="B3" s="10" t="str">
        <x:v>Uzak</x:v>
      </x:c>
      <x:c r="C3" s="10" t="n">
        <x:v>500</x:v>
      </x:c>
      <x:c r="D3" s="10" t="n">
        <x:v>3000</x:v>
      </x:c>
      <x:c r="E3" s="10" t="n">
        <x:v>1</x:v>
      </x:c>
      <x:c r="F3" s="10" t="n">
        <x:v>1</x:v>
      </x:c>
      <x:c r="G3" s="10" t="n">
        <x:v>0</x:v>
      </x:c>
      <x:c r="H3" s="10" t="n">
        <x:v>2</x:v>
      </x:c>
      <x:c r="I3" s="10" t="n">
        <x:v>0</x:v>
      </x:c>
      <x:c r="J3" s="10" t="n">
        <x:v>4</x:v>
      </x:c>
      <x:c r="K3" s="10" t="n">
        <x:f>SUM(E3:I3)</x:f>
        <x:v>4</x:v>
      </x:c>
      <x:c r="L3" s="10" t="str">
        <x:f>IF(J3=K3,"PASS","CHECK")</x:f>
        <x:v>PASS</x:v>
      </x:c>
      <x:c r="M3" s="10" t="str">
        <x:v>CURRENT_LINKED_UNDER_REVISION</x:v>
      </x:c>
      <x:c r="N3" s="10" t="str">
        <x:v>https://denizcilik.uab.gov.tr/uploads/pages/yonerge-talimat/gemilerin-gemiadamlari-ile-donatilmasina-iliskin-yonerge.pdf</x:v>
      </x:c>
    </x:row>
    <x:row r="4">
      <x:c r="A4" s="10" t="str">
        <x:v>TUG-DECK-UZAK-0</x:v>
      </x:c>
      <x:c r="B4" s="10" t="str">
        <x:v>Uzak</x:v>
      </x:c>
      <x:c r="C4" s="10" t="n">
        <x:v>0</x:v>
      </x:c>
      <x:c r="D4" s="10" t="n">
        <x:v>500</x:v>
      </x:c>
      <x:c r="E4" s="10" t="n">
        <x:v>1</x:v>
      </x:c>
      <x:c r="F4" s="10" t="n">
        <x:v>0</x:v>
      </x:c>
      <x:c r="G4" s="10" t="n">
        <x:v>1</x:v>
      </x:c>
      <x:c r="H4" s="10" t="n">
        <x:v>2</x:v>
      </x:c>
      <x:c r="I4" s="10" t="n">
        <x:v>0</x:v>
      </x:c>
      <x:c r="J4" s="10" t="n">
        <x:v>4</x:v>
      </x:c>
      <x:c r="K4" s="10" t="n">
        <x:f>SUM(E4:I4)</x:f>
        <x:v>4</x:v>
      </x:c>
      <x:c r="L4" s="10" t="str">
        <x:f>IF(J4=K4,"PASS","CHECK")</x:f>
        <x:v>PASS</x:v>
      </x:c>
      <x:c r="M4" s="10" t="str">
        <x:v>CURRENT_LINKED_UNDER_REVISION</x:v>
      </x:c>
      <x:c r="N4" s="10" t="str">
        <x:v>https://denizcilik.uab.gov.tr/uploads/pages/yonerge-talimat/gemilerin-gemiadamlari-ile-donatilmasina-iliskin-yonerge.pdf</x:v>
      </x:c>
    </x:row>
    <x:row r="5">
      <x:c r="A5" s="10" t="str">
        <x:v>TUG-DECK-YK-3000</x:v>
      </x:c>
      <x:c r="B5" s="10" t="str">
        <x:v>Yakın Kıyısal</x:v>
      </x:c>
      <x:c r="C5" s="10" t="n">
        <x:v>3000</x:v>
      </x:c>
      <x:c r="D5" s="10"/>
      <x:c r="E5" s="10" t="n">
        <x:v>1</x:v>
      </x:c>
      <x:c r="F5" s="10" t="n">
        <x:v>1</x:v>
      </x:c>
      <x:c r="G5" s="10" t="n">
        <x:v>0</x:v>
      </x:c>
      <x:c r="H5" s="10" t="n">
        <x:v>2</x:v>
      </x:c>
      <x:c r="I5" s="10" t="n">
        <x:v>0</x:v>
      </x:c>
      <x:c r="J5" s="10" t="n">
        <x:v>4</x:v>
      </x:c>
      <x:c r="K5" s="10" t="n">
        <x:f>SUM(E5:I5)</x:f>
        <x:v>4</x:v>
      </x:c>
      <x:c r="L5" s="10" t="str">
        <x:f>IF(J5=K5,"PASS","CHECK")</x:f>
        <x:v>PASS</x:v>
      </x:c>
      <x:c r="M5" s="10" t="str">
        <x:v>CURRENT_LINKED_UNDER_REVISION</x:v>
      </x:c>
      <x:c r="N5" s="10" t="str">
        <x:v>https://denizcilik.uab.gov.tr/uploads/pages/yonerge-talimat/gemilerin-gemiadamlari-ile-donatilmasina-iliskin-yonerge.pdf</x:v>
      </x:c>
    </x:row>
    <x:row r="6">
      <x:c r="A6" s="10" t="str">
        <x:v>TUG-DECK-YK-500</x:v>
      </x:c>
      <x:c r="B6" s="10" t="str">
        <x:v>Yakın Kıyısal</x:v>
      </x:c>
      <x:c r="C6" s="10" t="n">
        <x:v>500</x:v>
      </x:c>
      <x:c r="D6" s="10" t="n">
        <x:v>3000</x:v>
      </x:c>
      <x:c r="E6" s="10" t="n">
        <x:v>1</x:v>
      </x:c>
      <x:c r="F6" s="10" t="n">
        <x:v>1</x:v>
      </x:c>
      <x:c r="G6" s="10" t="n">
        <x:v>0</x:v>
      </x:c>
      <x:c r="H6" s="10" t="n">
        <x:v>2</x:v>
      </x:c>
      <x:c r="I6" s="10" t="n">
        <x:v>0</x:v>
      </x:c>
      <x:c r="J6" s="10" t="n">
        <x:v>4</x:v>
      </x:c>
      <x:c r="K6" s="10" t="n">
        <x:f>SUM(E6:I6)</x:f>
        <x:v>4</x:v>
      </x:c>
      <x:c r="L6" s="10" t="str">
        <x:f>IF(J6=K6,"PASS","CHECK")</x:f>
        <x:v>PASS</x:v>
      </x:c>
      <x:c r="M6" s="10" t="str">
        <x:v>CURRENT_LINKED_UNDER_REVISION</x:v>
      </x:c>
      <x:c r="N6" s="10" t="str">
        <x:v>https://denizcilik.uab.gov.tr/uploads/pages/yonerge-talimat/gemilerin-gemiadamlari-ile-donatilmasina-iliskin-yonerge.pdf</x:v>
      </x:c>
    </x:row>
    <x:row r="7">
      <x:c r="A7" s="10" t="str">
        <x:v>TUG-DECK-YK-0</x:v>
      </x:c>
      <x:c r="B7" s="10" t="str">
        <x:v>Yakın Kıyısal</x:v>
      </x:c>
      <x:c r="C7" s="10" t="n">
        <x:v>0</x:v>
      </x:c>
      <x:c r="D7" s="10" t="n">
        <x:v>500</x:v>
      </x:c>
      <x:c r="E7" s="10" t="n">
        <x:v>1</x:v>
      </x:c>
      <x:c r="F7" s="10" t="n">
        <x:v>0</x:v>
      </x:c>
      <x:c r="G7" s="10" t="n">
        <x:v>1</x:v>
      </x:c>
      <x:c r="H7" s="10" t="n">
        <x:v>2</x:v>
      </x:c>
      <x:c r="I7" s="10" t="n">
        <x:v>0</x:v>
      </x:c>
      <x:c r="J7" s="10" t="n">
        <x:v>4</x:v>
      </x:c>
      <x:c r="K7" s="10" t="n">
        <x:f>SUM(E7:I7)</x:f>
        <x:v>4</x:v>
      </x:c>
      <x:c r="L7" s="10" t="str">
        <x:f>IF(J7=K7,"PASS","CHECK")</x:f>
        <x:v>PASS</x:v>
      </x:c>
      <x:c r="M7" s="10" t="str">
        <x:v>CURRENT_LINKED_UNDER_REVISION</x:v>
      </x:c>
      <x:c r="N7" s="10" t="str">
        <x:v>https://denizcilik.uab.gov.tr/uploads/pages/yonerge-talimat/gemilerin-gemiadamlari-ile-donatilmasina-iliskin-yonerge.pdf</x:v>
      </x:c>
    </x:row>
    <x:row r="8">
      <x:c r="A8" s="10" t="str">
        <x:v>TUG-DECK-KAB-500</x:v>
      </x:c>
      <x:c r="B8" s="10" t="str">
        <x:v>Kabotaj</x:v>
      </x:c>
      <x:c r="C8" s="10" t="n">
        <x:v>500</x:v>
      </x:c>
      <x:c r="D8" s="10"/>
      <x:c r="E8" s="10" t="n">
        <x:v>1</x:v>
      </x:c>
      <x:c r="F8" s="10" t="n">
        <x:v>0</x:v>
      </x:c>
      <x:c r="G8" s="10" t="n">
        <x:v>1</x:v>
      </x:c>
      <x:c r="H8" s="10" t="n">
        <x:v>2</x:v>
      </x:c>
      <x:c r="I8" s="10" t="n">
        <x:v>0</x:v>
      </x:c>
      <x:c r="J8" s="10" t="n">
        <x:v>4</x:v>
      </x:c>
      <x:c r="K8" s="10" t="n">
        <x:f>SUM(E8:I8)</x:f>
        <x:v>4</x:v>
      </x:c>
      <x:c r="L8" s="10" t="str">
        <x:f>IF(J8=K8,"PASS","CHECK")</x:f>
        <x:v>PASS</x:v>
      </x:c>
      <x:c r="M8" s="10" t="str">
        <x:v>CURRENT_LINKED_UNDER_REVISION</x:v>
      </x:c>
      <x:c r="N8" s="10" t="str">
        <x:v>https://denizcilik.uab.gov.tr/uploads/pages/yonerge-talimat/gemilerin-gemiadamlari-ile-donatilmasina-iliskin-yonerge.pdf</x:v>
      </x:c>
    </x:row>
    <x:row r="9">
      <x:c r="A9" s="10" t="str">
        <x:v>TUG-DECK-KAB-100</x:v>
      </x:c>
      <x:c r="B9" s="10" t="str">
        <x:v>Kabotaj</x:v>
      </x:c>
      <x:c r="C9" s="10" t="n">
        <x:v>100</x:v>
      </x:c>
      <x:c r="D9" s="10" t="n">
        <x:v>500</x:v>
      </x:c>
      <x:c r="E9" s="10" t="n">
        <x:v>1</x:v>
      </x:c>
      <x:c r="F9" s="10" t="n">
        <x:v>0</x:v>
      </x:c>
      <x:c r="G9" s="10" t="n">
        <x:v>1</x:v>
      </x:c>
      <x:c r="H9" s="10" t="n">
        <x:v>1</x:v>
      </x:c>
      <x:c r="I9" s="10" t="n">
        <x:v>0</x:v>
      </x:c>
      <x:c r="J9" s="10" t="n">
        <x:v>3</x:v>
      </x:c>
      <x:c r="K9" s="10" t="n">
        <x:f>SUM(E9:I9)</x:f>
        <x:v>3</x:v>
      </x:c>
      <x:c r="L9" s="10" t="str">
        <x:f>IF(J9=K9,"PASS","CHECK")</x:f>
        <x:v>PASS</x:v>
      </x:c>
      <x:c r="M9" s="10" t="str">
        <x:v>CURRENT_LINKED_UNDER_REVISION</x:v>
      </x:c>
      <x:c r="N9" s="10" t="str">
        <x:v>https://denizcilik.uab.gov.tr/uploads/pages/yonerge-talimat/gemilerin-gemiadamlari-ile-donatilmasina-iliskin-yonerge.pdf</x:v>
      </x:c>
    </x:row>
    <x:row r="10">
      <x:c r="A10" s="10" t="str">
        <x:v>TUG-DECK-KAB-0</x:v>
      </x:c>
      <x:c r="B10" s="10" t="str">
        <x:v>Kabotaj</x:v>
      </x:c>
      <x:c r="C10" s="10" t="n">
        <x:v>0</x:v>
      </x:c>
      <x:c r="D10" s="10" t="n">
        <x:v>100</x:v>
      </x:c>
      <x:c r="E10" s="10" t="n">
        <x:v>1</x:v>
      </x:c>
      <x:c r="F10" s="10" t="n">
        <x:v>0</x:v>
      </x:c>
      <x:c r="G10" s="10" t="n">
        <x:v>1</x:v>
      </x:c>
      <x:c r="H10" s="10" t="n">
        <x:v>0</x:v>
      </x:c>
      <x:c r="I10" s="10" t="n">
        <x:v>1</x:v>
      </x:c>
      <x:c r="J10" s="10" t="n">
        <x:v>3</x:v>
      </x:c>
      <x:c r="K10" s="10" t="n">
        <x:f>SUM(E10:I10)</x:f>
        <x:v>3</x:v>
      </x:c>
      <x:c r="L10" s="10" t="str">
        <x:f>IF(J10=K10,"PASS","CHECK")</x:f>
        <x:v>PASS</x:v>
      </x:c>
      <x:c r="M10" s="10" t="str">
        <x:v>CURRENT_LINKED_UNDER_REVISION</x:v>
      </x:c>
      <x:c r="N10" s="10" t="str">
        <x:v>https://denizcilik.uab.gov.tr/uploads/pages/yonerge-talimat/gemilerin-gemiadamlari-ile-donatilmasina-iliskin-yonerge.pdf</x:v>
      </x:c>
    </x:row>
    <x:row r="11">
      <x:c r="A11" s="10" t="str">
        <x:v>TUG-DECK-LIMAN-500</x:v>
      </x:c>
      <x:c r="B11" s="10" t="str">
        <x:v>Liman</x:v>
      </x:c>
      <x:c r="C11" s="10" t="n">
        <x:v>500</x:v>
      </x:c>
      <x:c r="D11" s="10"/>
      <x:c r="E11" s="10" t="n">
        <x:v>1</x:v>
      </x:c>
      <x:c r="F11" s="10" t="n">
        <x:v>0</x:v>
      </x:c>
      <x:c r="G11" s="10" t="n">
        <x:v>0</x:v>
      </x:c>
      <x:c r="H11" s="10" t="n">
        <x:v>2</x:v>
      </x:c>
      <x:c r="I11" s="10" t="n">
        <x:v>0</x:v>
      </x:c>
      <x:c r="J11" s="10" t="n">
        <x:v>3</x:v>
      </x:c>
      <x:c r="K11" s="10" t="n">
        <x:f>SUM(E11:I11)</x:f>
        <x:v>3</x:v>
      </x:c>
      <x:c r="L11" s="10" t="str">
        <x:f>IF(J11=K11,"PASS","CHECK")</x:f>
        <x:v>PASS</x:v>
      </x:c>
      <x:c r="M11" s="10" t="str">
        <x:v>CURRENT_LINKED_UNDER_REVISION</x:v>
      </x:c>
      <x:c r="N11" s="10" t="str">
        <x:v>https://denizcilik.uab.gov.tr/uploads/pages/yonerge-talimat/gemilerin-gemiadamlari-ile-donatilmasina-iliskin-yonerge.pdf</x:v>
      </x:c>
    </x:row>
    <x:row r="12">
      <x:c r="A12" s="10" t="str">
        <x:v>TUG-DECK-LIMAN-100</x:v>
      </x:c>
      <x:c r="B12" s="10" t="str">
        <x:v>Liman</x:v>
      </x:c>
      <x:c r="C12" s="10" t="n">
        <x:v>100</x:v>
      </x:c>
      <x:c r="D12" s="10" t="n">
        <x:v>500</x:v>
      </x:c>
      <x:c r="E12" s="10" t="n">
        <x:v>1</x:v>
      </x:c>
      <x:c r="F12" s="10" t="n">
        <x:v>0</x:v>
      </x:c>
      <x:c r="G12" s="10" t="n">
        <x:v>0</x:v>
      </x:c>
      <x:c r="H12" s="10" t="n">
        <x:v>1</x:v>
      </x:c>
      <x:c r="I12" s="10" t="n">
        <x:v>0</x:v>
      </x:c>
      <x:c r="J12" s="10" t="n">
        <x:v>2</x:v>
      </x:c>
      <x:c r="K12" s="10" t="n">
        <x:f>SUM(E12:I12)</x:f>
        <x:v>2</x:v>
      </x:c>
      <x:c r="L12" s="10" t="str">
        <x:f>IF(J12=K12,"PASS","CHECK")</x:f>
        <x:v>PASS</x:v>
      </x:c>
      <x:c r="M12" s="10" t="str">
        <x:v>CURRENT_LINKED_UNDER_REVISION</x:v>
      </x:c>
      <x:c r="N12" s="10" t="str">
        <x:v>https://denizcilik.uab.gov.tr/uploads/pages/yonerge-talimat/gemilerin-gemiadamlari-ile-donatilmasina-iliskin-yonerge.pdf</x:v>
      </x:c>
    </x:row>
    <x:row r="13">
      <x:c r="A13" s="10" t="str">
        <x:v>TUG-DECK-LIMAN-0</x:v>
      </x:c>
      <x:c r="B13" s="10" t="str">
        <x:v>Liman</x:v>
      </x:c>
      <x:c r="C13" s="10" t="n">
        <x:v>0</x:v>
      </x:c>
      <x:c r="D13" s="10" t="n">
        <x:v>100</x:v>
      </x:c>
      <x:c r="E13" s="10" t="n">
        <x:v>1</x:v>
      </x:c>
      <x:c r="F13" s="10" t="n">
        <x:v>0</x:v>
      </x:c>
      <x:c r="G13" s="10" t="n">
        <x:v>0</x:v>
      </x:c>
      <x:c r="H13" s="10" t="n">
        <x:v>0</x:v>
      </x:c>
      <x:c r="I13" s="10" t="n">
        <x:v>1</x:v>
      </x:c>
      <x:c r="J13" s="10" t="n">
        <x:v>2</x:v>
      </x:c>
      <x:c r="K13" s="10" t="n">
        <x:f>SUM(E13:I13)</x:f>
        <x:v>2</x:v>
      </x:c>
      <x:c r="L13" s="10" t="str">
        <x:f>IF(J13=K13,"PASS","CHECK")</x:f>
        <x:v>PASS</x:v>
      </x:c>
      <x:c r="M13" s="10" t="str">
        <x:v>CURRENT_LINKED_UNDER_REVISION</x:v>
      </x:c>
      <x:c r="N13" s="10" t="str">
        <x:v>https://denizcilik.uab.gov.tr/uploads/pages/yonerge-talimat/gemilerin-gemiadamlari-ile-donatilmasina-iliskin-yonerge.pdf</x:v>
      </x:c>
    </x:row>
  </x:sheetData>
  <x:conditionalFormatting sqref="L2:L13">
    <x:cfRule type="expression" dxfId="0" priority="1">
      <x:formula>L2="PASS"</x:formula>
    </x:cfRule>
    <x:cfRule type="expression" dxfId="1" priority="2">
      <x:formula>L2="CHECK"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4fb1aff54c4a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3" hidden="0" customWidth="1"/>
    <x:col min="12" max="12" width="13" hidden="0" customWidth="1"/>
    <x:col min="13" max="13" width="30" hidden="0" customWidth="1"/>
    <x:col min="14" max="14" width="76" hidden="0" customWidth="1"/>
  </x:cols>
  <x:sheetData>
    <x:row r="1">
      <x:c r="A1" s="16" t="str">
        <x:v>Rule ID</x:v>
      </x:c>
      <x:c r="B1" s="16" t="str">
        <x:v>Sefer Bölgesi</x:v>
      </x:c>
      <x:c r="C1" s="16" t="str">
        <x:v>kW Alt</x:v>
      </x:c>
      <x:c r="D1" s="16" t="str">
        <x:v>kW Üst Hariç</x:v>
      </x:c>
      <x:c r="E1" s="16" t="str">
        <x:v>Başmüh./Başmak.</x:v>
      </x:c>
      <x:c r="F1" s="16" t="str">
        <x:v>İkinci Müh./Mak.</x:v>
      </x:c>
      <x:c r="G1" s="16" t="str">
        <x:v>Makine Zabiti</x:v>
      </x:c>
      <x:c r="H1" s="16" t="str">
        <x:v>Makine Tayfası G1</x:v>
      </x:c>
      <x:c r="I1" s="16" t="str">
        <x:v>Makine Tayfası G2</x:v>
      </x:c>
      <x:c r="J1" s="16" t="str">
        <x:v>Yayınlanan Toplam</x:v>
      </x:c>
      <x:c r="K1" s="16" t="str">
        <x:v>Hesap Toplam</x:v>
      </x:c>
      <x:c r="L1" s="16" t="str">
        <x:v>Check</x:v>
      </x:c>
      <x:c r="M1" s="16" t="str">
        <x:v>Source Status</x:v>
      </x:c>
      <x:c r="N1" s="16" t="str">
        <x:v>Source URL</x:v>
      </x:c>
    </x:row>
    <x:row r="2">
      <x:c r="A2" s="10" t="str">
        <x:v>TUG-ENG-UZAK-3000</x:v>
      </x:c>
      <x:c r="B2" s="10" t="str">
        <x:v>Uzak</x:v>
      </x:c>
      <x:c r="C2" s="10" t="n">
        <x:v>3000</x:v>
      </x:c>
      <x:c r="D2" s="10"/>
      <x:c r="E2" s="10" t="n">
        <x:v>1</x:v>
      </x:c>
      <x:c r="F2" s="10" t="n">
        <x:v>1</x:v>
      </x:c>
      <x:c r="G2" s="10" t="n">
        <x:v>0</x:v>
      </x:c>
      <x:c r="H2" s="10" t="n">
        <x:v>1</x:v>
      </x:c>
      <x:c r="I2" s="10" t="n">
        <x:v>1</x:v>
      </x:c>
      <x:c r="J2" s="10" t="n">
        <x:v>4</x:v>
      </x:c>
      <x:c r="K2" s="10" t="n">
        <x:f>SUM(E2:I2)</x:f>
        <x:v>4</x:v>
      </x:c>
      <x:c r="L2" s="10" t="str">
        <x:f>IF(J2=K2,"PASS","CHECK")</x:f>
        <x:v>PASS</x:v>
      </x:c>
      <x:c r="M2" s="10" t="str">
        <x:v>CURRENT_LINKED_UNDER_REVISION</x:v>
      </x:c>
      <x:c r="N2" s="10" t="str">
        <x:v>https://denizcilik.uab.gov.tr/uploads/pages/yonerge-talimat/gemilerin-gemiadamlari-ile-donatilmasina-iliskin-yonerge.pdf</x:v>
      </x:c>
    </x:row>
    <x:row r="3">
      <x:c r="A3" s="10" t="str">
        <x:v>TUG-ENG-UZAK-750</x:v>
      </x:c>
      <x:c r="B3" s="10" t="str">
        <x:v>Uzak</x:v>
      </x:c>
      <x:c r="C3" s="10" t="n">
        <x:v>750</x:v>
      </x:c>
      <x:c r="D3" s="10" t="n">
        <x:v>3000</x:v>
      </x:c>
      <x:c r="E3" s="10" t="n">
        <x:v>1</x:v>
      </x:c>
      <x:c r="F3" s="10" t="n">
        <x:v>1</x:v>
      </x:c>
      <x:c r="G3" s="10" t="n">
        <x:v>0</x:v>
      </x:c>
      <x:c r="H3" s="10" t="n">
        <x:v>1</x:v>
      </x:c>
      <x:c r="I3" s="10" t="n">
        <x:v>1</x:v>
      </x:c>
      <x:c r="J3" s="10" t="n">
        <x:v>4</x:v>
      </x:c>
      <x:c r="K3" s="10" t="n">
        <x:f>SUM(E3:I3)</x:f>
        <x:v>4</x:v>
      </x:c>
      <x:c r="L3" s="10" t="str">
        <x:f>IF(J3=K3,"PASS","CHECK")</x:f>
        <x:v>PASS</x:v>
      </x:c>
      <x:c r="M3" s="10" t="str">
        <x:v>CURRENT_LINKED_UNDER_REVISION</x:v>
      </x:c>
      <x:c r="N3" s="10" t="str">
        <x:v>https://denizcilik.uab.gov.tr/uploads/pages/yonerge-talimat/gemilerin-gemiadamlari-ile-donatilmasina-iliskin-yonerge.pdf</x:v>
      </x:c>
    </x:row>
    <x:row r="4">
      <x:c r="A4" s="10" t="str">
        <x:v>TUG-ENG-UZAK-0</x:v>
      </x:c>
      <x:c r="B4" s="10" t="str">
        <x:v>Uzak</x:v>
      </x:c>
      <x:c r="C4" s="10" t="n">
        <x:v>0</x:v>
      </x:c>
      <x:c r="D4" s="10" t="n">
        <x:v>750</x:v>
      </x:c>
      <x:c r="E4" s="10" t="n">
        <x:v>1</x:v>
      </x:c>
      <x:c r="F4" s="10" t="n">
        <x:v>0</x:v>
      </x:c>
      <x:c r="G4" s="10" t="n">
        <x:v>1</x:v>
      </x:c>
      <x:c r="H4" s="10" t="n">
        <x:v>1</x:v>
      </x:c>
      <x:c r="I4" s="10" t="n">
        <x:v>1</x:v>
      </x:c>
      <x:c r="J4" s="10" t="n">
        <x:v>4</x:v>
      </x:c>
      <x:c r="K4" s="10" t="n">
        <x:f>SUM(E4:I4)</x:f>
        <x:v>4</x:v>
      </x:c>
      <x:c r="L4" s="10" t="str">
        <x:f>IF(J4=K4,"PASS","CHECK")</x:f>
        <x:v>PASS</x:v>
      </x:c>
      <x:c r="M4" s="10" t="str">
        <x:v>CURRENT_LINKED_UNDER_REVISION</x:v>
      </x:c>
      <x:c r="N4" s="10" t="str">
        <x:v>https://denizcilik.uab.gov.tr/uploads/pages/yonerge-talimat/gemilerin-gemiadamlari-ile-donatilmasina-iliskin-yonerge.pdf</x:v>
      </x:c>
    </x:row>
    <x:row r="5">
      <x:c r="A5" s="10" t="str">
        <x:v>TUG-ENG-YK-3000</x:v>
      </x:c>
      <x:c r="B5" s="10" t="str">
        <x:v>Yakın Kıyısal</x:v>
      </x:c>
      <x:c r="C5" s="10" t="n">
        <x:v>3000</x:v>
      </x:c>
      <x:c r="D5" s="10"/>
      <x:c r="E5" s="10" t="n">
        <x:v>1</x:v>
      </x:c>
      <x:c r="F5" s="10" t="n">
        <x:v>1</x:v>
      </x:c>
      <x:c r="G5" s="10" t="n">
        <x:v>0</x:v>
      </x:c>
      <x:c r="H5" s="10" t="n">
        <x:v>1</x:v>
      </x:c>
      <x:c r="I5" s="10" t="n">
        <x:v>1</x:v>
      </x:c>
      <x:c r="J5" s="10" t="n">
        <x:v>4</x:v>
      </x:c>
      <x:c r="K5" s="10" t="n">
        <x:f>SUM(E5:I5)</x:f>
        <x:v>4</x:v>
      </x:c>
      <x:c r="L5" s="10" t="str">
        <x:f>IF(J5=K5,"PASS","CHECK")</x:f>
        <x:v>PASS</x:v>
      </x:c>
      <x:c r="M5" s="10" t="str">
        <x:v>CURRENT_LINKED_UNDER_REVISION</x:v>
      </x:c>
      <x:c r="N5" s="10" t="str">
        <x:v>https://denizcilik.uab.gov.tr/uploads/pages/yonerge-talimat/gemilerin-gemiadamlari-ile-donatilmasina-iliskin-yonerge.pdf</x:v>
      </x:c>
    </x:row>
    <x:row r="6">
      <x:c r="A6" s="10" t="str">
        <x:v>TUG-ENG-YK-750</x:v>
      </x:c>
      <x:c r="B6" s="10" t="str">
        <x:v>Yakın Kıyısal</x:v>
      </x:c>
      <x:c r="C6" s="10" t="n">
        <x:v>750</x:v>
      </x:c>
      <x:c r="D6" s="10" t="n">
        <x:v>3000</x:v>
      </x:c>
      <x:c r="E6" s="10" t="n">
        <x:v>1</x:v>
      </x:c>
      <x:c r="F6" s="10" t="n">
        <x:v>1</x:v>
      </x:c>
      <x:c r="G6" s="10" t="n">
        <x:v>0</x:v>
      </x:c>
      <x:c r="H6" s="10" t="n">
        <x:v>1</x:v>
      </x:c>
      <x:c r="I6" s="10" t="n">
        <x:v>1</x:v>
      </x:c>
      <x:c r="J6" s="10" t="n">
        <x:v>4</x:v>
      </x:c>
      <x:c r="K6" s="10" t="n">
        <x:f>SUM(E6:I6)</x:f>
        <x:v>4</x:v>
      </x:c>
      <x:c r="L6" s="10" t="str">
        <x:f>IF(J6=K6,"PASS","CHECK")</x:f>
        <x:v>PASS</x:v>
      </x:c>
      <x:c r="M6" s="10" t="str">
        <x:v>CURRENT_LINKED_UNDER_REVISION</x:v>
      </x:c>
      <x:c r="N6" s="10" t="str">
        <x:v>https://denizcilik.uab.gov.tr/uploads/pages/yonerge-talimat/gemilerin-gemiadamlari-ile-donatilmasina-iliskin-yonerge.pdf</x:v>
      </x:c>
    </x:row>
    <x:row r="7">
      <x:c r="A7" s="10" t="str">
        <x:v>TUG-ENG-YK-0</x:v>
      </x:c>
      <x:c r="B7" s="10" t="str">
        <x:v>Yakın Kıyısal</x:v>
      </x:c>
      <x:c r="C7" s="10" t="n">
        <x:v>0</x:v>
      </x:c>
      <x:c r="D7" s="10" t="n">
        <x:v>750</x:v>
      </x:c>
      <x:c r="E7" s="10" t="n">
        <x:v>1</x:v>
      </x:c>
      <x:c r="F7" s="10" t="n">
        <x:v>0</x:v>
      </x:c>
      <x:c r="G7" s="10" t="n">
        <x:v>1</x:v>
      </x:c>
      <x:c r="H7" s="10" t="n">
        <x:v>1</x:v>
      </x:c>
      <x:c r="I7" s="10" t="n">
        <x:v>1</x:v>
      </x:c>
      <x:c r="J7" s="10" t="n">
        <x:v>4</x:v>
      </x:c>
      <x:c r="K7" s="10" t="n">
        <x:f>SUM(E7:I7)</x:f>
        <x:v>4</x:v>
      </x:c>
      <x:c r="L7" s="10" t="str">
        <x:f>IF(J7=K7,"PASS","CHECK")</x:f>
        <x:v>PASS</x:v>
      </x:c>
      <x:c r="M7" s="10" t="str">
        <x:v>CURRENT_LINKED_UNDER_REVISION</x:v>
      </x:c>
      <x:c r="N7" s="10" t="str">
        <x:v>https://denizcilik.uab.gov.tr/uploads/pages/yonerge-talimat/gemilerin-gemiadamlari-ile-donatilmasina-iliskin-yonerge.pdf</x:v>
      </x:c>
    </x:row>
    <x:row r="8">
      <x:c r="A8" s="10" t="str">
        <x:v>TUG-ENG-KAB-750</x:v>
      </x:c>
      <x:c r="B8" s="10" t="str">
        <x:v>Kabotaj</x:v>
      </x:c>
      <x:c r="C8" s="10" t="n">
        <x:v>750</x:v>
      </x:c>
      <x:c r="D8" s="10"/>
      <x:c r="E8" s="10" t="n">
        <x:v>1</x:v>
      </x:c>
      <x:c r="F8" s="10" t="n">
        <x:v>0</x:v>
      </x:c>
      <x:c r="G8" s="10" t="n">
        <x:v>0</x:v>
      </x:c>
      <x:c r="H8" s="10" t="n">
        <x:v>1</x:v>
      </x:c>
      <x:c r="I8" s="10" t="n">
        <x:v>0</x:v>
      </x:c>
      <x:c r="J8" s="10" t="n">
        <x:v>2</x:v>
      </x:c>
      <x:c r="K8" s="10" t="n">
        <x:f>SUM(E8:I8)</x:f>
        <x:v>2</x:v>
      </x:c>
      <x:c r="L8" s="10" t="str">
        <x:f>IF(J8=K8,"PASS","CHECK")</x:f>
        <x:v>PASS</x:v>
      </x:c>
      <x:c r="M8" s="10" t="str">
        <x:v>CURRENT_LINKED_UNDER_REVISION</x:v>
      </x:c>
      <x:c r="N8" s="10" t="str">
        <x:v>https://denizcilik.uab.gov.tr/uploads/pages/yonerge-talimat/gemilerin-gemiadamlari-ile-donatilmasina-iliskin-yonerge.pdf</x:v>
      </x:c>
    </x:row>
    <x:row r="9">
      <x:c r="A9" s="10" t="str">
        <x:v>TUG-ENG-KAB-370</x:v>
      </x:c>
      <x:c r="B9" s="10" t="str">
        <x:v>Kabotaj</x:v>
      </x:c>
      <x:c r="C9" s="10" t="n">
        <x:v>370</x:v>
      </x:c>
      <x:c r="D9" s="10" t="n">
        <x:v>750</x:v>
      </x:c>
      <x:c r="E9" s="10" t="n">
        <x:v>1</x:v>
      </x:c>
      <x:c r="F9" s="10" t="n">
        <x:v>0</x:v>
      </x:c>
      <x:c r="G9" s="10" t="n">
        <x:v>0</x:v>
      </x:c>
      <x:c r="H9" s="10" t="n">
        <x:v>0</x:v>
      </x:c>
      <x:c r="I9" s="10" t="n">
        <x:v>1</x:v>
      </x:c>
      <x:c r="J9" s="10" t="n">
        <x:v>2</x:v>
      </x:c>
      <x:c r="K9" s="10" t="n">
        <x:f>SUM(E9:I9)</x:f>
        <x:v>2</x:v>
      </x:c>
      <x:c r="L9" s="10" t="str">
        <x:f>IF(J9=K9,"PASS","CHECK")</x:f>
        <x:v>PASS</x:v>
      </x:c>
      <x:c r="M9" s="10" t="str">
        <x:v>CURRENT_LINKED_UNDER_REVISION</x:v>
      </x:c>
      <x:c r="N9" s="10" t="str">
        <x:v>https://denizcilik.uab.gov.tr/uploads/pages/yonerge-talimat/gemilerin-gemiadamlari-ile-donatilmasina-iliskin-yonerge.pdf</x:v>
      </x:c>
    </x:row>
    <x:row r="10">
      <x:c r="A10" s="10" t="str">
        <x:v>TUG-ENG-KAB-0</x:v>
      </x:c>
      <x:c r="B10" s="10" t="str">
        <x:v>Kabotaj</x:v>
      </x:c>
      <x:c r="C10" s="10" t="n">
        <x:v>0</x:v>
      </x:c>
      <x:c r="D10" s="10" t="n">
        <x:v>370</x:v>
      </x:c>
      <x:c r="E10" s="10" t="n">
        <x:v>1</x:v>
      </x:c>
      <x:c r="F10" s="10" t="n">
        <x:v>0</x:v>
      </x:c>
      <x:c r="G10" s="10" t="n">
        <x:v>0</x:v>
      </x:c>
      <x:c r="H10" s="10" t="n">
        <x:v>0</x:v>
      </x:c>
      <x:c r="I10" s="10" t="n">
        <x:v>0</x:v>
      </x:c>
      <x:c r="J10" s="10" t="n">
        <x:v>1</x:v>
      </x:c>
      <x:c r="K10" s="10" t="n">
        <x:f>SUM(E10:I10)</x:f>
        <x:v>1</x:v>
      </x:c>
      <x:c r="L10" s="10" t="str">
        <x:f>IF(J10=K10,"PASS","CHECK")</x:f>
        <x:v>PASS</x:v>
      </x:c>
      <x:c r="M10" s="10" t="str">
        <x:v>CURRENT_LINKED_UNDER_REVISION</x:v>
      </x:c>
      <x:c r="N10" s="10" t="str">
        <x:v>https://denizcilik.uab.gov.tr/uploads/pages/yonerge-talimat/gemilerin-gemiadamlari-ile-donatilmasina-iliskin-yonerge.pdf</x:v>
      </x:c>
    </x:row>
    <x:row r="11">
      <x:c r="A11" s="10" t="str">
        <x:v>TUG-ENG-LIMAN-750</x:v>
      </x:c>
      <x:c r="B11" s="10" t="str">
        <x:v>Liman</x:v>
      </x:c>
      <x:c r="C11" s="10" t="n">
        <x:v>750</x:v>
      </x:c>
      <x:c r="D11" s="10"/>
      <x:c r="E11" s="10" t="n">
        <x:v>1</x:v>
      </x:c>
      <x:c r="F11" s="10" t="n">
        <x:v>0</x:v>
      </x:c>
      <x:c r="G11" s="10" t="n">
        <x:v>0</x:v>
      </x:c>
      <x:c r="H11" s="10" t="n">
        <x:v>1</x:v>
      </x:c>
      <x:c r="I11" s="10" t="n">
        <x:v>0</x:v>
      </x:c>
      <x:c r="J11" s="10" t="n">
        <x:v>2</x:v>
      </x:c>
      <x:c r="K11" s="10" t="n">
        <x:f>SUM(E11:I11)</x:f>
        <x:v>2</x:v>
      </x:c>
      <x:c r="L11" s="10" t="str">
        <x:f>IF(J11=K11,"PASS","CHECK")</x:f>
        <x:v>PASS</x:v>
      </x:c>
      <x:c r="M11" s="10" t="str">
        <x:v>CURRENT_LINKED_UNDER_REVISION</x:v>
      </x:c>
      <x:c r="N11" s="10" t="str">
        <x:v>https://denizcilik.uab.gov.tr/uploads/pages/yonerge-talimat/gemilerin-gemiadamlari-ile-donatilmasina-iliskin-yonerge.pdf</x:v>
      </x:c>
    </x:row>
    <x:row r="12">
      <x:c r="A12" s="10" t="str">
        <x:v>TUG-ENG-LIMAN-370</x:v>
      </x:c>
      <x:c r="B12" s="10" t="str">
        <x:v>Liman</x:v>
      </x:c>
      <x:c r="C12" s="10" t="n">
        <x:v>370</x:v>
      </x:c>
      <x:c r="D12" s="10" t="n">
        <x:v>750</x:v>
      </x:c>
      <x:c r="E12" s="10" t="n">
        <x:v>1</x:v>
      </x:c>
      <x:c r="F12" s="10" t="n">
        <x:v>0</x:v>
      </x:c>
      <x:c r="G12" s="10" t="n">
        <x:v>0</x:v>
      </x:c>
      <x:c r="H12" s="10" t="n">
        <x:v>0</x:v>
      </x:c>
      <x:c r="I12" s="10" t="n">
        <x:v>1</x:v>
      </x:c>
      <x:c r="J12" s="10" t="n">
        <x:v>2</x:v>
      </x:c>
      <x:c r="K12" s="10" t="n">
        <x:f>SUM(E12:I12)</x:f>
        <x:v>2</x:v>
      </x:c>
      <x:c r="L12" s="10" t="str">
        <x:f>IF(J12=K12,"PASS","CHECK")</x:f>
        <x:v>PASS</x:v>
      </x:c>
      <x:c r="M12" s="10" t="str">
        <x:v>CURRENT_LINKED_UNDER_REVISION</x:v>
      </x:c>
      <x:c r="N12" s="10" t="str">
        <x:v>https://denizcilik.uab.gov.tr/uploads/pages/yonerge-talimat/gemilerin-gemiadamlari-ile-donatilmasina-iliskin-yonerge.pdf</x:v>
      </x:c>
    </x:row>
    <x:row r="13">
      <x:c r="A13" s="10" t="str">
        <x:v>TUG-ENG-LIMAN-0</x:v>
      </x:c>
      <x:c r="B13" s="10" t="str">
        <x:v>Liman</x:v>
      </x:c>
      <x:c r="C13" s="10" t="n">
        <x:v>0</x:v>
      </x:c>
      <x:c r="D13" s="10" t="n">
        <x:v>370</x:v>
      </x:c>
      <x:c r="E13" s="10" t="n">
        <x:v>1</x:v>
      </x:c>
      <x:c r="F13" s="10" t="n">
        <x:v>0</x:v>
      </x:c>
      <x:c r="G13" s="10" t="n">
        <x:v>0</x:v>
      </x:c>
      <x:c r="H13" s="10" t="n">
        <x:v>0</x:v>
      </x:c>
      <x:c r="I13" s="10" t="n">
        <x:v>0</x:v>
      </x:c>
      <x:c r="J13" s="10" t="n">
        <x:v>1</x:v>
      </x:c>
      <x:c r="K13" s="10" t="n">
        <x:f>SUM(E13:I13)</x:f>
        <x:v>1</x:v>
      </x:c>
      <x:c r="L13" s="10" t="str">
        <x:f>IF(J13=K13,"PASS","CHECK")</x:f>
        <x:v>PASS</x:v>
      </x:c>
      <x:c r="M13" s="10" t="str">
        <x:v>CURRENT_LINKED_UNDER_REVISION</x:v>
      </x:c>
      <x:c r="N13" s="10" t="str">
        <x:v>https://denizcilik.uab.gov.tr/uploads/pages/yonerge-talimat/gemilerin-gemiadamlari-ile-donatilmasina-iliskin-yonerge.pdf</x:v>
      </x:c>
    </x:row>
  </x:sheetData>
  <x:conditionalFormatting sqref="L2:L13">
    <x:cfRule type="expression" dxfId="2" priority="1">
      <x:formula>L2="PASS"</x:formula>
    </x:cfRule>
    <x:cfRule type="expression" dxfId="3" priority="2">
      <x:formula>L2="CHECK"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45c71132124d3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56" hidden="0" customWidth="1"/>
    <x:col min="4" max="4" width="24" hidden="0" customWidth="1"/>
    <x:col min="5" max="5" width="72" hidden="0" customWidth="1"/>
    <x:col min="6" max="6" width="82" hidden="0" customWidth="1"/>
  </x:cols>
  <x:sheetData>
    <x:row r="1">
      <x:c r="A1" s="16" t="str">
        <x:v>Rule ID</x:v>
      </x:c>
      <x:c r="B1" s="16" t="str">
        <x:v>Source Note</x:v>
      </x:c>
      <x:c r="C1" s="16" t="str">
        <x:v>POSEIDON treatment</x:v>
      </x:c>
      <x:c r="D1" s="16" t="str">
        <x:v>Automation status</x:v>
      </x:c>
      <x:c r="E1" s="16" t="str">
        <x:v>Reason / guardrail</x:v>
      </x:c>
      <x:c r="F1" s="16" t="str">
        <x:v>Source URL</x:v>
      </x:c>
    </x:row>
    <x:row r="2">
      <x:c r="A2" s="10" t="str">
        <x:v>TUG-NOTE-01</x:v>
      </x:c>
      <x:c r="B2" s="10" t="str">
        <x:v>Yeterlik belgesinin 'Uygulanan Sınırlamalar' bölümü esas alınır.</x:v>
      </x:c>
      <x:c r="C2" s="10" t="str">
        <x:v>Person credential limitation is a mandatory eligibility input.</x:v>
      </x:c>
      <x:c r="D2" s="10" t="str">
        <x:v>AUTO_WITH_EVIDENCE</x:v>
      </x:c>
      <x:c r="E2" s="10" t="str">
        <x:v>Current credential limitations override generic title.</x:v>
      </x:c>
      <x:c r="F2" s="10" t="str">
        <x:v>https://denizcilik.uab.gov.tr/uploads/pages/yonerge-talimat/gemilerin-gemiadamlari-ile-donatilmasina-iliskin-yonerge.pdf</x:v>
      </x:c>
    </x:row>
    <x:row r="3">
      <x:c r="A3" s="10" t="str">
        <x:v>TUG-NOTE-02</x:v>
      </x:c>
      <x:c r="B3" s="10" t="str">
        <x:v>Kabotajda bazı üst yeterlik sahipleri kaptan/başmakinist görevini yapabilir.</x:v>
      </x:c>
      <x:c r="C3" s="10" t="str">
        <x:v>Model as qualification substitution rule.</x:v>
      </x:c>
      <x:c r="D3" s="10" t="str">
        <x:v>REVIEW_REQUIRED</x:v>
      </x:c>
      <x:c r="E3" s="10" t="str">
        <x:v>2019 directive special note; verify compatibility with 2024 regulation and actual MSMD.</x:v>
      </x:c>
      <x:c r="F3" s="10" t="str">
        <x:v>https://denizcilik.uab.gov.tr/uploads/pages/yonerge-talimat/gemilerin-gemiadamlari-ile-donatilmasina-iliskin-yonerge.pdf</x:v>
      </x:c>
    </x:row>
    <x:row r="4">
      <x:c r="A4" s="10" t="str">
        <x:v>TUG-NOTE-03</x:v>
      </x:c>
      <x:c r="B4" s="10" t="str">
        <x:v>Liman ve Kabotajda GT/kW'ye bakılmaksızın sınırlı kaptan / sınırlı başmakinist notu bulunuyor.</x:v>
      </x:c>
      <x:c r="C4" s="10" t="str">
        <x:v>Do not hard-code unconditional pass.</x:v>
      </x:c>
      <x:c r="D4" s="10" t="str">
        <x:v>REVIEW_REQUIRED</x:v>
      </x:c>
      <x:c r="E4" s="10" t="str">
        <x:v>2024 regulation defines restricted master &lt;500 GT / restricted chief &lt;750 kW in near-coastal context; new 2026 manning draft exists.</x:v>
      </x:c>
      <x:c r="F4" s="10" t="str">
        <x:v>https://denizcilik.uab.gov.tr/uploads/pages/yonerge-talimat/gemilerin-gemiadamlari-ile-donatilmasina-iliskin-yonerge.pdf</x:v>
      </x:c>
    </x:row>
    <x:row r="5">
      <x:c r="A5" s="10" t="str">
        <x:v>TUG-NOTE-04</x:v>
      </x:c>
      <x:c r="B5" s="10" t="str">
        <x:v>Kabotajda vardiya zabitliği görevini sınırlı vardiya zabiti yapabilir.</x:v>
      </x:c>
      <x:c r="C5" s="10" t="str">
        <x:v>Conditional substitution rule.</x:v>
      </x:c>
      <x:c r="D5" s="10" t="str">
        <x:v>REVIEW_REQUIRED</x:v>
      </x:c>
      <x:c r="E5" s="10" t="str">
        <x:v>Validate against current certificate limitations/MSMD/current directive.</x:v>
      </x:c>
      <x:c r="F5" s="10" t="str">
        <x:v>https://denizcilik.uab.gov.tr/uploads/pages/yonerge-talimat/gemilerin-gemiadamlari-ile-donatilmasina-iliskin-yonerge.pdf</x:v>
      </x:c>
    </x:row>
    <x:row r="6">
      <x:c r="A6" s="10" t="str">
        <x:v>TUG-NOTE-05</x:v>
      </x:c>
      <x:c r="B6" s="10" t="str">
        <x:v>Liman seferi &lt;100 GT römorkörde sınırlı vardiya zabiti kaptanlık yapabilir.</x:v>
      </x:c>
      <x:c r="C6" s="10" t="str">
        <x:v>Conditional substitution rule.</x:v>
      </x:c>
      <x:c r="D6" s="10" t="str">
        <x:v>REVIEW_REQUIRED</x:v>
      </x:c>
      <x:c r="E6" s="10" t="str">
        <x:v>Current regulation and certificate limitations must confirm.</x:v>
      </x:c>
      <x:c r="F6" s="10" t="str">
        <x:v>https://denizcilik.uab.gov.tr/uploads/pages/yonerge-talimat/gemilerin-gemiadamlari-ile-donatilmasina-iliskin-yonerge.pdf</x:v>
      </x:c>
    </x:row>
    <x:row r="7">
      <x:c r="A7" s="10" t="str">
        <x:v>TUG-NOTE-06</x:v>
      </x:c>
      <x:c r="B7" s="10" t="str">
        <x:v>Liman seferi &lt;370 kW römorkörde sınırlı makine zabiti başmakinistlik yapabilir.</x:v>
      </x:c>
      <x:c r="C7" s="10" t="str">
        <x:v>Conditional substitution rule.</x:v>
      </x:c>
      <x:c r="D7" s="10" t="str">
        <x:v>REVIEW_REQUIRED</x:v>
      </x:c>
      <x:c r="E7" s="10" t="str">
        <x:v>Current regulation/MSMD/limitations validation required.</x:v>
      </x:c>
      <x:c r="F7" s="10" t="str">
        <x:v>https://denizcilik.uab.gov.tr/uploads/pages/yonerge-talimat/gemilerin-gemiadamlari-ile-donatilmasina-iliskin-yonerge.pdf</x:v>
      </x:c>
    </x:row>
    <x:row r="8">
      <x:c r="A8" s="10" t="str">
        <x:v>TUG-NOTE-07</x:v>
      </x:c>
      <x:c r="B8" s="10" t="str">
        <x:v>İstanbul ve Çanakkale Boğazlarında eskort hizmeti veren römorkörlere +1 usta gemici.</x:v>
      </x:c>
      <x:c r="C8" s="10" t="str">
        <x:v>Additional crew requirement.</x:v>
      </x:c>
      <x:c r="D8" s="10" t="str">
        <x:v>AUTO_WHEN_CONTEXT_VERIFIED</x:v>
      </x:c>
      <x:c r="E8" s="10" t="str">
        <x:v>Requires operation_area + escort_job context.</x:v>
      </x:c>
      <x:c r="F8" s="10" t="str">
        <x:v>https://denizcilik.uab.gov.tr/uploads/pages/yonerge-talimat/gemilerin-gemiadamlari-ile-donatilmasina-iliskin-yonerge.pdf</x:v>
      </x:c>
    </x:row>
    <x:row r="9">
      <x:c r="A9" s="10" t="str">
        <x:v>TUG-NOTE-08</x:v>
      </x:c>
      <x:c r="B9" s="10" t="str">
        <x:v>Kabotajda eski intibak/kazanılmış hak notları bulunuyor.</x:v>
      </x:c>
      <x:c r="C9" s="10" t="str">
        <x:v>Store historical/vested-right evidence where applicable.</x:v>
      </x:c>
      <x:c r="D9" s="10" t="str">
        <x:v>REVIEW_REQUIRED</x:v>
      </x:c>
      <x:c r="E9" s="10" t="str">
        <x:v>Cannot infer from certificate title alone.</x:v>
      </x:c>
      <x:c r="F9" s="10" t="str">
        <x:v>https://denizcilik.uab.gov.tr/uploads/pages/yonerge-talimat/gemilerin-gemiadamlari-ile-donatilmasina-iliskin-yonerge.pdf</x:v>
      </x:c>
    </x:row>
    <x:row r="10">
      <x:c r="A10" s="10" t="str">
        <x:v>TUG-NOTE-09</x:v>
      </x:c>
      <x:c r="B10" s="10" t="str">
        <x:v>2026'da yeni Donatım Yönergesi taslağı görüşe açıldı.</x:v>
      </x:c>
      <x:c r="C10" s="10" t="str">
        <x:v>Regulatory Change Radar item; current source marked under revision.</x:v>
      </x:c>
      <x:c r="D10" s="10" t="str">
        <x:v>MONITOR</x:v>
      </x:c>
      <x:c r="E10" s="10" t="str">
        <x:v>No finalized replacement found in current official-link search.</x:v>
      </x:c>
      <x:c r="F10" s="10" t="str">
        <x:v>https://armatorlerbirligi.org.tr/arsivler/portfolio-item/sirkuler-no7-gemilerin-gemiadamlari-ile-donatilmasina-iliskin-yonerge-taslagina-gorus-talebi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64" hidden="0" customWidth="1"/>
    <x:col min="4" max="4" width="36" hidden="0" customWidth="1"/>
    <x:col min="5" max="5" width="54" hidden="0" customWidth="1"/>
    <x:col min="6" max="6" width="50" hidden="0" customWidth="1"/>
    <x:col min="7" max="7" width="42" hidden="0" customWidth="1"/>
    <x:col min="8" max="8" width="42" hidden="0" customWidth="1"/>
  </x:cols>
  <x:sheetData>
    <x:row r="1">
      <x:c r="A1" s="16" t="str">
        <x:v>Step</x:v>
      </x:c>
      <x:c r="B1" s="16" t="str">
        <x:v>Input</x:v>
      </x:c>
      <x:c r="C1" s="16" t="str">
        <x:v>Rule</x:v>
      </x:c>
      <x:c r="D1" s="16" t="str">
        <x:v>Positive outcome</x:v>
      </x:c>
      <x:c r="E1" s="16" t="str">
        <x:v>Negative / uncertain outcome</x:v>
      </x:c>
      <x:c r="F1" s="16" t="str">
        <x:v>Screen / Field</x:v>
      </x:c>
      <x:c r="G1" s="16" t="str">
        <x:v>FR ID</x:v>
      </x:c>
      <x:c r="H1" s="16" t="str">
        <x:v>Test ID</x:v>
      </x:c>
    </x:row>
    <x:row r="2">
      <x:c r="A2" s="10" t="n">
        <x:v>1</x:v>
      </x:c>
      <x:c r="B2" s="10" t="str">
        <x:v>MSMD / Asgari Emniyet Belgesi</x:v>
      </x:c>
      <x:c r="C2" s="10" t="str">
        <x:v>Vessel-specific issued document is primary minimum-manning evidence.</x:v>
      </x:c>
      <x:c r="D2" s="10" t="str">
        <x:v>Required role/count profile loaded.</x:v>
      </x:c>
      <x:c r="E2" s="10" t="str">
        <x:v>Missing/expired/unverified → REVIEW_REQUIRED.</x:v>
      </x:c>
      <x:c r="F2" s="10" t="str">
        <x:v>tug-crew-readiness / minimum_manning_state</x:v>
      </x:c>
      <x:c r="G2" s="10" t="str">
        <x:v>FR-tug-crew-readiness-minimum_manning_state</x:v>
      </x:c>
      <x:c r="H2" s="10" t="str">
        <x:v>TC-tug-crew-readiness-minimum_manning_state</x:v>
      </x:c>
    </x:row>
    <x:row r="3">
      <x:c r="A3" s="10" t="n">
        <x:v>2</x:v>
      </x:c>
      <x:c r="B3" s="10" t="str">
        <x:v>Voyage area + GT + kW</x:v>
      </x:c>
      <x:c r="C3" s="10" t="str">
        <x:v>Compare current vessel profile to rule reference and MSMD.</x:v>
      </x:c>
      <x:c r="D3" s="10" t="str">
        <x:v>Profile consistent.</x:v>
      </x:c>
      <x:c r="E3" s="10" t="str">
        <x:v>Mismatch → ATTENTION/REVIEW_REQUIRED.</x:v>
      </x:c>
      <x:c r="F3" s="10" t="str">
        <x:v>tug-crew-readiness / tug_id</x:v>
      </x:c>
      <x:c r="G3" s="10" t="str">
        <x:v>FR-tug-crew-readiness-tug_id</x:v>
      </x:c>
      <x:c r="H3" s="10" t="str">
        <x:v>TC-tug-crew-readiness-tug_id</x:v>
      </x:c>
    </x:row>
    <x:row r="4">
      <x:c r="A4" s="10" t="n">
        <x:v>3</x:v>
      </x:c>
      <x:c r="B4" s="10" t="str">
        <x:v>Certificate / capacity</x:v>
      </x:c>
      <x:c r="C4" s="10" t="str">
        <x:v>Credential must be current and role/capacity permitted.</x:v>
      </x:c>
      <x:c r="D4" s="10" t="str">
        <x:v>Credential pass.</x:v>
      </x:c>
      <x:c r="E4" s="10" t="str">
        <x:v>Expired/missing/not permitted → NOT_ELIGIBLE.</x:v>
      </x:c>
      <x:c r="F4" s="10" t="str">
        <x:v>crew-certificates; tug-crew-readiness / certificate_state</x:v>
      </x:c>
      <x:c r="G4" s="10" t="str">
        <x:v>FR-tug-crew-readiness-certificate_state</x:v>
      </x:c>
      <x:c r="H4" s="10" t="str">
        <x:v>TC-tug-crew-readiness-certificate_state</x:v>
      </x:c>
    </x:row>
    <x:row r="5">
      <x:c r="A5" s="10" t="n">
        <x:v>4</x:v>
      </x:c>
      <x:c r="B5" s="10" t="str">
        <x:v>Certificate limitations</x:v>
      </x:c>
      <x:c r="C5" s="10" t="str">
        <x:v>Use current 'Uygulanan Sınırlamalar' / endorsements.</x:v>
      </x:c>
      <x:c r="D5" s="10" t="str">
        <x:v>Limitations allow assignment.</x:v>
      </x:c>
      <x:c r="E5" s="10" t="str">
        <x:v>Unclear/conflict → REVIEW_REQUIRED.</x:v>
      </x:c>
      <x:c r="F5" s="10" t="str">
        <x:v>crew-certificates / limitations</x:v>
      </x:c>
      <x:c r="G5" s="10" t="str">
        <x:v>FR-crew-certificates-limitations</x:v>
      </x:c>
      <x:c r="H5" s="10" t="str">
        <x:v>TC-crew-certificates-limitations</x:v>
      </x:c>
    </x:row>
    <x:row r="6">
      <x:c r="A6" s="10" t="n">
        <x:v>5</x:v>
      </x:c>
      <x:c r="B6" s="10" t="str">
        <x:v>Medical</x:v>
      </x:c>
      <x:c r="C6" s="10" t="str">
        <x:v>Valid medical evidence for assignment period.</x:v>
      </x:c>
      <x:c r="D6" s="10" t="str">
        <x:v>Pass.</x:v>
      </x:c>
      <x:c r="E6" s="10" t="str">
        <x:v>Expired/invalid → NOT_ELIGIBLE.</x:v>
      </x:c>
      <x:c r="F6" s="10" t="str">
        <x:v>crew-certificates / medical_validity</x:v>
      </x:c>
      <x:c r="G6" s="10" t="str">
        <x:v>FR-crew-medical-validity</x:v>
      </x:c>
      <x:c r="H6" s="10" t="str">
        <x:v>TC-crew-medical-validity</x:v>
      </x:c>
    </x:row>
    <x:row r="7">
      <x:c r="A7" s="10" t="n">
        <x:v>6</x:v>
      </x:c>
      <x:c r="B7" s="10" t="str">
        <x:v>STCW / required training</x:v>
      </x:c>
      <x:c r="C7" s="10" t="str">
        <x:v>Required basic/special training current.</x:v>
      </x:c>
      <x:c r="D7" s="10" t="str">
        <x:v>Pass.</x:v>
      </x:c>
      <x:c r="E7" s="10" t="str">
        <x:v>Missing mandatory → NOT_ELIGIBLE.</x:v>
      </x:c>
      <x:c r="F7" s="10" t="str">
        <x:v>training-position-matrix</x:v>
      </x:c>
      <x:c r="G7" s="10" t="str">
        <x:v>FR-training-position-matrix-required</x:v>
      </x:c>
      <x:c r="H7" s="10" t="str">
        <x:v>TC-training-position-matrix-required</x:v>
      </x:c>
    </x:row>
    <x:row r="8">
      <x:c r="A8" s="10" t="n">
        <x:v>7</x:v>
      </x:c>
      <x:c r="B8" s="10" t="str">
        <x:v>Tug/towage competence</x:v>
      </x:c>
      <x:c r="C8" s="10" t="str">
        <x:v>Company/tug/job-specific competence and assessment.</x:v>
      </x:c>
      <x:c r="D8" s="10" t="str">
        <x:v>Verified.</x:v>
      </x:c>
      <x:c r="E8" s="10" t="str">
        <x:v>Not verified → ATTENTION/NOT_ELIGIBLE by criticality.</x:v>
      </x:c>
      <x:c r="F8" s="10" t="str">
        <x:v>tug-crew-readiness / towage_competence</x:v>
      </x:c>
      <x:c r="G8" s="10" t="str">
        <x:v>FR-tug-crew-readiness-towage_competence</x:v>
      </x:c>
      <x:c r="H8" s="10" t="str">
        <x:v>TC-tug-crew-readiness-towage_competence</x:v>
      </x:c>
    </x:row>
    <x:row r="9">
      <x:c r="A9" s="10" t="n">
        <x:v>8</x:v>
      </x:c>
      <x:c r="B9" s="10" t="str">
        <x:v>Familiarization</x:v>
      </x:c>
      <x:c r="C9" s="10" t="str">
        <x:v>Newly assigned crew completes tug/equipment/emergency familiarization.</x:v>
      </x:c>
      <x:c r="D9" s="10" t="str">
        <x:v>Complete.</x:v>
      </x:c>
      <x:c r="E9" s="10" t="str">
        <x:v>Pending → readiness cannot be full READY.</x:v>
      </x:c>
      <x:c r="F9" s="10" t="str">
        <x:v>tug-crew-readiness / familiarization_state</x:v>
      </x:c>
      <x:c r="G9" s="10" t="str">
        <x:v>FR-tug-crew-readiness-familiarization_state</x:v>
      </x:c>
      <x:c r="H9" s="10" t="str">
        <x:v>TC-tug-crew-readiness-familiarization_state</x:v>
      </x:c>
    </x:row>
    <x:row r="10">
      <x:c r="A10" s="10" t="n">
        <x:v>9</x:v>
      </x:c>
      <x:c r="B10" s="10" t="str">
        <x:v>Work/rest</x:v>
      </x:c>
      <x:c r="C10" s="10" t="str">
        <x:v>Current assignment/watch does not breach operational rest rules.</x:v>
      </x:c>
      <x:c r="D10" s="10" t="str">
        <x:v>Pass.</x:v>
      </x:c>
      <x:c r="E10" s="10" t="str">
        <x:v>Violation → ATTENTION/NOT_READY depending role/criticality.</x:v>
      </x:c>
      <x:c r="F10" s="10" t="str">
        <x:v>tug-crew-readiness / work_rest_state</x:v>
      </x:c>
      <x:c r="G10" s="10" t="str">
        <x:v>FR-tug-crew-readiness-work_rest_state</x:v>
      </x:c>
      <x:c r="H10" s="10" t="str">
        <x:v>TC-tug-crew-readiness-work_rest_state</x:v>
      </x:c>
    </x:row>
    <x:row r="11">
      <x:c r="A11" s="10" t="n">
        <x:v>10</x:v>
      </x:c>
      <x:c r="B11" s="10" t="str">
        <x:v>Job briefing</x:v>
      </x:c>
      <x:c r="C11" s="10" t="str">
        <x:v>Job-specific towage briefing acknowledged.</x:v>
      </x:c>
      <x:c r="D11" s="10" t="str">
        <x:v>Complete.</x:v>
      </x:c>
      <x:c r="E11" s="10" t="str">
        <x:v>Missing before operation → NOT_READY.</x:v>
      </x:c>
      <x:c r="F11" s="10" t="str">
        <x:v>tug-crew-readiness / job_specific_briefing</x:v>
      </x:c>
      <x:c r="G11" s="10" t="str">
        <x:v>FR-tug-crew-readiness-job_specific_briefing</x:v>
      </x:c>
      <x:c r="H11" s="10" t="str">
        <x:v>TC-tug-crew-readiness-job_specific_briefing</x:v>
      </x:c>
    </x:row>
    <x:row r="12">
      <x:c r="A12" s="10" t="n">
        <x:v>11</x:v>
      </x:c>
      <x:c r="B12" s="10" t="str">
        <x:v>Master/Tug Master review</x:v>
      </x:c>
      <x:c r="C12" s="10" t="str">
        <x:v>Authorized onboard human reviews material exceptions.</x:v>
      </x:c>
      <x:c r="D12" s="10" t="str">
        <x:v>Accept/conditional/reject decision stored.</x:v>
      </x:c>
      <x:c r="E12" s="10" t="str">
        <x:v>No authorized decision → operation cannot move to released.</x:v>
      </x:c>
      <x:c r="F12" s="10" t="str">
        <x:v>tug-readiness / master_decision</x:v>
      </x:c>
      <x:c r="G12" s="10" t="str">
        <x:v>FR-tug-readiness-master_decision</x:v>
      </x:c>
      <x:c r="H12" s="10" t="str">
        <x:v>TC-tug-readiness-master_decision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46" hidden="0" customWidth="1"/>
    <x:col min="4" max="4" width="72" hidden="0" customWidth="1"/>
    <x:col min="5" max="5" width="34" hidden="0" customWidth="1"/>
    <x:col min="6" max="6" width="54" hidden="0" customWidth="1"/>
    <x:col min="7" max="7" width="32" hidden="0" customWidth="1"/>
    <x:col min="8" max="8" width="52" hidden="0" customWidth="1"/>
    <x:col min="9" max="9" width="40" hidden="0" customWidth="1"/>
    <x:col min="10" max="10" width="40" hidden="0" customWidth="1"/>
    <x:col min="11" max="11" width="26" hidden="0" customWidth="1"/>
    <x:col min="12" max="12" width="82" hidden="0" customWidth="1"/>
  </x:cols>
  <x:sheetData>
    <x:row r="1">
      <x:c r="A1" s="16" t="str">
        <x:v>Rule ID</x:v>
      </x:c>
      <x:c r="B1" s="16" t="str">
        <x:v>Equipment / Topic</x:v>
      </x:c>
      <x:c r="C1" s="16" t="str">
        <x:v>Applicability</x:v>
      </x:c>
      <x:c r="D1" s="16" t="str">
        <x:v>Requirement / Control</x:v>
      </x:c>
      <x:c r="E1" s="16" t="str">
        <x:v>POSEIDON State</x:v>
      </x:c>
      <x:c r="F1" s="16" t="str">
        <x:v>Evidence</x:v>
      </x:c>
      <x:c r="G1" s="16" t="str">
        <x:v>Verification</x:v>
      </x:c>
      <x:c r="H1" s="16" t="str">
        <x:v>Screen / Field</x:v>
      </x:c>
      <x:c r="I1" s="16" t="str">
        <x:v>FR ID</x:v>
      </x:c>
      <x:c r="J1" s="16" t="str">
        <x:v>Test ID</x:v>
      </x:c>
      <x:c r="K1" s="16" t="str">
        <x:v>Source status</x:v>
      </x:c>
      <x:c r="L1" s="16" t="str">
        <x:v>Source URL</x:v>
      </x:c>
    </x:row>
    <x:row r="2">
      <x:c r="A2" s="10" t="str">
        <x:v>EQ-BP-01</x:v>
      </x:c>
      <x:c r="B2" s="10" t="str">
        <x:v>Bollard Pull Certificate</x:v>
      </x:c>
      <x:c r="C2" s="10" t="str">
        <x:v>TR römorkörcülük service context</x:v>
      </x:c>
      <x:c r="D2" s="10" t="str">
        <x:v>İdare onaylı ve son 5 yıl içinde alınmış BP sertifikası bulunmalı.</x:v>
      </x:c>
      <x:c r="E2" s="10" t="str">
        <x:v>VALID / DUE / EXPIRED / REVIEW_REQUIRED</x:v>
      </x:c>
      <x:c r="F2" s="10" t="str">
        <x:v>BP certificate, issue/test date, authority/class, measured value</x:v>
      </x:c>
      <x:c r="G2" s="10" t="str">
        <x:v>Regulatory/Technical verifier</x:v>
      </x:c>
      <x:c r="H2" s="10" t="str">
        <x:v>tug-equipment-readiness / bollard_pull_certificate</x:v>
      </x:c>
      <x:c r="I2" s="10" t="str">
        <x:v>FR-tug-bp-certificate</x:v>
      </x:c>
      <x:c r="J2" s="10" t="str">
        <x:v>TC-tug-bp-certificate</x:v>
      </x:c>
      <x:c r="K2" s="10" t="str">
        <x:v>CURRENT</x:v>
      </x:c>
      <x:c r="L2" s="10" t="str">
        <x:v>https://www.lexpera.com.tr/mevzuat/yonetmelikler/kilavuzluk-ve-romorkorculuk-hizmetleri-hakkinda-yonetmelik-1</x:v>
      </x:c>
    </x:row>
    <x:row r="3">
      <x:c r="A3" s="10" t="str">
        <x:v>EQ-BP-02</x:v>
      </x:c>
      <x:c r="B3" s="10" t="str">
        <x:v>Bollard Pull Loss</x:v>
      </x:c>
      <x:c r="C3" s="10" t="str">
        <x:v>TR service context</x:v>
      </x:c>
      <x:c r="D3" s="10" t="str">
        <x:v>Zamanla tespit edilen azami %10 çekme gücü kaybı kabul edilebilir; contract/taahhüt required BP ayrıca kontrol edilir.</x:v>
      </x:c>
      <x:c r="E3" s="10" t="str">
        <x:v>PASS / ATTENTION / FAIL</x:v>
      </x:c>
      <x:c r="F3" s="10" t="str">
        <x:v>Latest measured BP vs certificate/required BP</x:v>
      </x:c>
      <x:c r="G3" s="10" t="str">
        <x:v>Shore planner + Master review</x:v>
      </x:c>
      <x:c r="H3" s="10" t="str">
        <x:v>tug-readiness / bollard_pull_margin</x:v>
      </x:c>
      <x:c r="I3" s="10" t="str">
        <x:v>FR-tug-readiness-bollard_pull_margin</x:v>
      </x:c>
      <x:c r="J3" s="10" t="str">
        <x:v>TC-tug-readiness-bollard_pull_margin</x:v>
      </x:c>
      <x:c r="K3" s="10" t="str">
        <x:v>CURRENT</x:v>
      </x:c>
      <x:c r="L3" s="10" t="str">
        <x:v>https://www.lexpera.com.tr/mevzuat/yonetmelikler/kilavuzluk-ve-romorkorculuk-hizmetleri-hakkinda-yonetmelik-1</x:v>
      </x:c>
    </x:row>
    <x:row r="4">
      <x:c r="A4" s="10" t="str">
        <x:v>EQ-CLASS-01</x:v>
      </x:c>
      <x:c r="B4" s="10" t="str">
        <x:v>Class status</x:v>
      </x:c>
      <x:c r="C4" s="10" t="str">
        <x:v>TR service context</x:v>
      </x:c>
      <x:c r="D4" s="10" t="str">
        <x:v>Römorkör klaslı olmalı.</x:v>
      </x:c>
      <x:c r="E4" s="10" t="str">
        <x:v>VALID / DUE / EXPIRED / REVIEW_REQUIRED</x:v>
      </x:c>
      <x:c r="F4" s="10" t="str">
        <x:v>Class certificate/status/survey windows</x:v>
      </x:c>
      <x:c r="G4" s="10" t="str">
        <x:v>Class/technical verification</x:v>
      </x:c>
      <x:c r="H4" s="10" t="str">
        <x:v>certificate-command-center / class_status</x:v>
      </x:c>
      <x:c r="I4" s="10" t="str">
        <x:v>FR-tug-class-status</x:v>
      </x:c>
      <x:c r="J4" s="10" t="str">
        <x:v>TC-tug-class-status</x:v>
      </x:c>
      <x:c r="K4" s="10" t="str">
        <x:v>CURRENT</x:v>
      </x:c>
      <x:c r="L4" s="10" t="str">
        <x:v>https://www.lexpera.com.tr/mevzuat/yonetmelikler/kilavuzluk-ve-romorkorculuk-hizmetleri-hakkinda-yonetmelik-1</x:v>
      </x:c>
    </x:row>
    <x:row r="5">
      <x:c r="A5" s="10" t="str">
        <x:v>EQ-FIRE-01</x:v>
      </x:c>
      <x:c r="B5" s="10" t="str">
        <x:v>Firefighting capability</x:v>
      </x:c>
      <x:c r="C5" s="10" t="str">
        <x:v>TR service context</x:v>
      </x:c>
      <x:c r="D5" s="10" t="str">
        <x:v>Yangın söndürme donanımı ve ilgili klas/contract requirement evidence.</x:v>
      </x:c>
      <x:c r="E5" s="10" t="str">
        <x:v>READY / ATTENTION / NOT_READY</x:v>
      </x:c>
      <x:c r="F5" s="10" t="str">
        <x:v>Class cert, FiFi notation/cert, PMS/test evidence</x:v>
      </x:c>
      <x:c r="G5" s="10" t="str">
        <x:v>Technical/Class verifier</x:v>
      </x:c>
      <x:c r="H5" s="10" t="str">
        <x:v>tug-equipment-readiness / fifi_state</x:v>
      </x:c>
      <x:c r="I5" s="10" t="str">
        <x:v>FR-tug-equipment-readiness-fifi_state</x:v>
      </x:c>
      <x:c r="J5" s="10" t="str">
        <x:v>TC-tug-equipment-readiness-fifi_state</x:v>
      </x:c>
      <x:c r="K5" s="10" t="str">
        <x:v>CURRENT/CONTRACT_DEPENDENT</x:v>
      </x:c>
      <x:c r="L5" s="10" t="str">
        <x:v>https://www.lexpera.com.tr/mevzuat/yonetmelikler/kilavuzluk-ve-romorkorculuk-hizmetleri-hakkinda-yonetmelik-1</x:v>
      </x:c>
    </x:row>
    <x:row r="6">
      <x:c r="A6" s="10" t="str">
        <x:v>EQ-INS-01</x:v>
      </x:c>
      <x:c r="B6" s="10" t="str">
        <x:v>Hull/Machinery + P&amp;I</x:v>
      </x:c>
      <x:c r="C6" s="10" t="str">
        <x:v>TR service context</x:v>
      </x:c>
      <x:c r="D6" s="10" t="str">
        <x:v>Tekne/makine sigortası + İdarece kabul edilen P&amp;I evidence.</x:v>
      </x:c>
      <x:c r="E6" s="10" t="str">
        <x:v>VALID / DUE / EXPIRED</x:v>
      </x:c>
      <x:c r="F6" s="10" t="str">
        <x:v>Insurance policy refs/validity</x:v>
      </x:c>
      <x:c r="G6" s="10" t="str">
        <x:v>Shore compliance verifier</x:v>
      </x:c>
      <x:c r="H6" s="10" t="str">
        <x:v>tug-readiness / insurance_state</x:v>
      </x:c>
      <x:c r="I6" s="10" t="str">
        <x:v>FR-tug-insurance-state</x:v>
      </x:c>
      <x:c r="J6" s="10" t="str">
        <x:v>TC-tug-insurance-state</x:v>
      </x:c>
      <x:c r="K6" s="10" t="str">
        <x:v>CURRENT</x:v>
      </x:c>
      <x:c r="L6" s="10" t="str">
        <x:v>https://www.lexpera.com.tr/mevzuat/yonetmelikler/kilavuzluk-ve-romorkorculuk-hizmetleri-hakkinda-yonetmelik-1</x:v>
      </x:c>
    </x:row>
    <x:row r="7">
      <x:c r="A7" s="10" t="str">
        <x:v>EQ-M79-01</x:v>
      </x:c>
      <x:c r="B7" s="10" t="str">
        <x:v>Towing winch emergency release applicability</x:v>
      </x:c>
      <x:c r="C7" s="10" t="str">
        <x:v>IACS classed vessel, close quarters/ports/terminals; Rev1 implementation for contracted construction on/after 1 Jul 2021</x:v>
      </x:c>
      <x:c r="D7" s="10" t="str">
        <x:v>Activate M79 pack only when class/build/winch/operation profile matches; solely long-distance ocean towage/anchor-handling excluded.</x:v>
      </x:c>
      <x:c r="E7" s="10" t="str">
        <x:v>APPLICABLE / NOT_APPLICABLE / REVIEW_REQUIRED</x:v>
      </x:c>
      <x:c r="F7" s="10" t="str">
        <x:v>Class society, construction contract date, winch configuration, operation profile</x:v>
      </x:c>
      <x:c r="G7" s="10" t="str">
        <x:v>Class/technical verifier</x:v>
      </x:c>
      <x:c r="H7" s="10" t="str">
        <x:v>tug-equipment-readiness / emergency_release_applicability</x:v>
      </x:c>
      <x:c r="I7" s="10" t="str">
        <x:v>FR-tug-m79-applicability</x:v>
      </x:c>
      <x:c r="J7" s="10" t="str">
        <x:v>TC-tug-m79-applicability</x:v>
      </x:c>
      <x:c r="K7" s="10" t="str">
        <x:v>CURRENT IACS UR</x:v>
      </x:c>
      <x:c r="L7" s="10" t="str">
        <x:v>https://iacs.org.uk/resolutions/unified-requirements/ur-m/ur-m79-rev1-cln</x:v>
      </x:c>
    </x:row>
    <x:row r="8">
      <x:c r="A8" s="10" t="str">
        <x:v>EQ-M79-02</x:v>
      </x:c>
      <x:c r="B8" s="10" t="str">
        <x:v>Emergency release system</x:v>
      </x:c>
      <x:c r="C8" s="10" t="str">
        <x:v>M79 applicable</x:v>
      </x:c>
      <x:c r="D8" s="10" t="str">
        <x:v>Towing winch has emergency release system; functions under normal/dead-ship conditions.</x:v>
      </x:c>
      <x:c r="E8" s="10" t="str">
        <x:v>READY / NOT_READY</x:v>
      </x:c>
      <x:c r="F8" s="10" t="str">
        <x:v>Manufacturer docs, class approval, commissioning/survey evidence</x:v>
      </x:c>
      <x:c r="G8" s="10" t="str">
        <x:v>Class survey/technical verifier</x:v>
      </x:c>
      <x:c r="H8" s="10" t="str">
        <x:v>tug-equipment-readiness / emergency_release_state</x:v>
      </x:c>
      <x:c r="I8" s="10" t="str">
        <x:v>FR-tug-equipment-readiness-emergency_release_state</x:v>
      </x:c>
      <x:c r="J8" s="10" t="str">
        <x:v>TC-tug-equipment-readiness-emergency_release_state</x:v>
      </x:c>
      <x:c r="K8" s="10" t="str">
        <x:v>CURRENT IACS UR</x:v>
      </x:c>
      <x:c r="L8" s="10" t="str">
        <x:v>https://iacs.org.uk/resolutions/unified-requirements/ur-m/ur-m79-rev1-cln</x:v>
      </x:c>
    </x:row>
    <x:row r="9">
      <x:c r="A9" s="10" t="str">
        <x:v>EQ-M79-03</x:v>
      </x:c>
      <x:c r="B9" s="10" t="str">
        <x:v>Release performance</x:v>
      </x:c>
      <x:c r="C9" s="10" t="str">
        <x:v>M79 applicable</x:v>
      </x:c>
      <x:c r="D9" s="10" t="str">
        <x:v>Release must cover required load/angles/heel; emergency release operates rapidly and controlled; Rev1 class requirements govern exact performance.</x:v>
      </x:c>
      <x:c r="E9" s="10" t="str">
        <x:v>PASS / FAIL / REVIEW_REQUIRED</x:v>
      </x:c>
      <x:c r="F9" s="10" t="str">
        <x:v>Type/commissioning/test evidence</x:v>
      </x:c>
      <x:c r="G9" s="10" t="str">
        <x:v>Class surveyor</x:v>
      </x:c>
      <x:c r="H9" s="10" t="str">
        <x:v>tug-equipment-readiness / emergency_release_test</x:v>
      </x:c>
      <x:c r="I9" s="10" t="str">
        <x:v>FR-tug-m79-performance</x:v>
      </x:c>
      <x:c r="J9" s="10" t="str">
        <x:v>TC-tug-m79-performance</x:v>
      </x:c>
      <x:c r="K9" s="10" t="str">
        <x:v>CURRENT IACS UR</x:v>
      </x:c>
      <x:c r="L9" s="10" t="str">
        <x:v>https://iacs.org.uk/resolutions/unified-requirements/ur-m/ur-m79-rev1-cln</x:v>
      </x:c>
    </x:row>
    <x:row r="10">
      <x:c r="A10" s="10" t="str">
        <x:v>EQ-M79-04</x:v>
      </x:c>
      <x:c r="B10" s="10" t="str">
        <x:v>Bridge/deck controls &amp; alarms</x:v>
      </x:c>
      <x:c r="C10" s="10" t="str">
        <x:v>M79 applicable</x:v>
      </x:c>
      <x:c r="D10" s="10" t="str">
        <x:v>Emergency release usable from bridge and safe deck control station; controls/alarms/documentation available per rule.</x:v>
      </x:c>
      <x:c r="E10" s="10" t="str">
        <x:v>PASS / ATTENTION / FAIL</x:v>
      </x:c>
      <x:c r="F10" s="10" t="str">
        <x:v>Control check, alarm test, operating instructions</x:v>
      </x:c>
      <x:c r="G10" s="10" t="str">
        <x:v>Annual/special survey</x:v>
      </x:c>
      <x:c r="H10" s="10" t="str">
        <x:v>tug-equipment-readiness / emergency_release_controls</x:v>
      </x:c>
      <x:c r="I10" s="10" t="str">
        <x:v>FR-tug-m79-controls</x:v>
      </x:c>
      <x:c r="J10" s="10" t="str">
        <x:v>TC-tug-m79-controls</x:v>
      </x:c>
      <x:c r="K10" s="10" t="str">
        <x:v>CURRENT IACS UR</x:v>
      </x:c>
      <x:c r="L10" s="10" t="str">
        <x:v>https://iacs.org.uk/resolutions/unified-requirements/ur-m/ur-m79-rev1-cln</x:v>
      </x:c>
    </x:row>
    <x:row r="11">
      <x:c r="A11" s="10" t="str">
        <x:v>EQ-Z18-01</x:v>
      </x:c>
      <x:c r="B11" s="10" t="str">
        <x:v>Annual survey - ERS</x:v>
      </x:c>
      <x:c r="C11" s="10" t="str">
        <x:v>M79 subject winch</x:v>
      </x:c>
      <x:c r="D11" s="10" t="str">
        <x:v>No-load operation, alarms, condition, blackout energy source, onboard instructions verified.</x:v>
      </x:c>
      <x:c r="E11" s="10" t="str">
        <x:v>VERIFIED / DUE / FAIL</x:v>
      </x:c>
      <x:c r="F11" s="10" t="str">
        <x:v>Annual survey evidence</x:v>
      </x:c>
      <x:c r="G11" s="10" t="str">
        <x:v>Class surveyor</x:v>
      </x:c>
      <x:c r="H11" s="10" t="str">
        <x:v>survey-planner / emergency_release_annual_survey</x:v>
      </x:c>
      <x:c r="I11" s="10" t="str">
        <x:v>FR-tug-ers-annual-survey</x:v>
      </x:c>
      <x:c r="J11" s="10" t="str">
        <x:v>TC-tug-ers-annual-survey</x:v>
      </x:c>
      <x:c r="K11" s="10" t="str">
        <x:v>CURRENT IACS UR Z18 Rev9</x:v>
      </x:c>
      <x:c r="L11" s="10" t="str">
        <x:v>https://iacs.s3.af-south-1.amazonaws.com/wp-content/uploads/2022/05/18153201/ur-z18rev9.pdf</x:v>
      </x:c>
    </x:row>
    <x:row r="12">
      <x:c r="A12" s="10" t="str">
        <x:v>EQ-Z18-02</x:v>
      </x:c>
      <x:c r="B12" s="10" t="str">
        <x:v>Special survey - ERS</x:v>
      </x:c>
      <x:c r="C12" s="10" t="str">
        <x:v>M79 subject winch</x:v>
      </x:c>
      <x:c r="D12" s="10" t="str">
        <x:v>Full functionality; test load at lesser of 30% maximum design load or 80% vessel bollard pull under normal/blackout conditions.</x:v>
      </x:c>
      <x:c r="E12" s="10" t="str">
        <x:v>VERIFIED / DUE / FAIL</x:v>
      </x:c>
      <x:c r="F12" s="10" t="str">
        <x:v>Special survey/test report</x:v>
      </x:c>
      <x:c r="G12" s="10" t="str">
        <x:v>Class surveyor</x:v>
      </x:c>
      <x:c r="H12" s="10" t="str">
        <x:v>survey-planner / emergency_release_special_survey</x:v>
      </x:c>
      <x:c r="I12" s="10" t="str">
        <x:v>FR-tug-ers-special-survey</x:v>
      </x:c>
      <x:c r="J12" s="10" t="str">
        <x:v>TC-tug-ers-special-survey</x:v>
      </x:c>
      <x:c r="K12" s="10" t="str">
        <x:v>CURRENT IACS UR Z18 Rev9</x:v>
      </x:c>
      <x:c r="L12" s="10" t="str">
        <x:v>https://iacs.s3.af-south-1.amazonaws.com/wp-content/uploads/2022/05/18153201/ur-z18rev9.pdf</x:v>
      </x:c>
    </x:row>
    <x:row r="13">
      <x:c r="A13" s="10" t="str">
        <x:v>EQ-TOWLINE-01</x:v>
      </x:c>
      <x:c r="B13" s="10" t="str">
        <x:v>Towline</x:v>
      </x:c>
      <x:c r="C13" s="10" t="str">
        <x:v>All tug jobs using towline</x:v>
      </x:c>
      <x:c r="D13" s="10" t="str">
        <x:v>Spec/SWL/condition/inspection/replacement history must support job plan and equipment readiness.</x:v>
      </x:c>
      <x:c r="E13" s="10" t="str">
        <x:v>READY / ATTENTION / NOT_READY</x:v>
      </x:c>
      <x:c r="F13" s="10" t="str">
        <x:v>Towline cert, inspection, photo/history</x:v>
      </x:c>
      <x:c r="G13" s="10" t="str">
        <x:v>Master/Technical verifier</x:v>
      </x:c>
      <x:c r="H13" s="10" t="str">
        <x:v>tug-equipment-readiness / towline_condition</x:v>
      </x:c>
      <x:c r="I13" s="10" t="str">
        <x:v>FR-tug-equipment-readiness-towline_condition</x:v>
      </x:c>
      <x:c r="J13" s="10" t="str">
        <x:v>TC-tug-equipment-readiness-towline_condition</x:v>
      </x:c>
      <x:c r="K13" s="10" t="str">
        <x:v>COMPANY/CLASS DEPENDENT</x:v>
      </x:c>
      <x:c r="L13" s="10" t="str">
        <x:v>Pilot tug class/OEM/company SMS</x:v>
      </x:c>
    </x:row>
    <x:row r="14">
      <x:c r="A14" s="10" t="str">
        <x:v>EQ-TOWHOOK-01</x:v>
      </x:c>
      <x:c r="B14" s="10" t="str">
        <x:v>Tow hook / chain stopper</x:v>
      </x:c>
      <x:c r="C14" s="10" t="str">
        <x:v>Where fitted/used</x:v>
      </x:c>
      <x:c r="D14" s="10" t="str">
        <x:v>SWL, condition, release/inspection state tracked.</x:v>
      </x:c>
      <x:c r="E14" s="10" t="str">
        <x:v>READY / ATTENTION / NOT_READY</x:v>
      </x:c>
      <x:c r="F14" s="10" t="str">
        <x:v>Cert/inspection/PMS evidence</x:v>
      </x:c>
      <x:c r="G14" s="10" t="str">
        <x:v>Technical verifier</x:v>
      </x:c>
      <x:c r="H14" s="10" t="str">
        <x:v>tug-equipment-readiness / tow_hook_state</x:v>
      </x:c>
      <x:c r="I14" s="10" t="str">
        <x:v>FR-tug-equipment-readiness-tow_hook_state</x:v>
      </x:c>
      <x:c r="J14" s="10" t="str">
        <x:v>TC-tug-equipment-readiness-tow_hook_state</x:v>
      </x:c>
      <x:c r="K14" s="10" t="str">
        <x:v>CLASS/OEM DEPENDENT</x:v>
      </x:c>
      <x:c r="L14" s="10" t="str">
        <x:v>Pilot tug class/OEM</x:v>
      </x:c>
    </x:row>
    <x:row r="15">
      <x:c r="A15" s="10" t="str">
        <x:v>EQ-PMS-01</x:v>
      </x:c>
      <x:c r="B15" s="10" t="str">
        <x:v>Critical towing equipment</x:v>
      </x:c>
      <x:c r="C15" s="10" t="str">
        <x:v>All tug</x:v>
      </x:c>
      <x:c r="D15" s="10" t="str">
        <x:v>Critical winch/towline/hook/emergency-release/FiFi defects and overdue maintenance feed readiness.</x:v>
      </x:c>
      <x:c r="E15" s="10" t="str">
        <x:v>READY / CONDITIONAL / NOT_READY / REVIEW_REQUIRED</x:v>
      </x:c>
      <x:c r="F15" s="10" t="str">
        <x:v>PMS/defect/safeguard/test evidence</x:v>
      </x:c>
      <x:c r="G15" s="10" t="str">
        <x:v>Chief Engineer + Master</x:v>
      </x:c>
      <x:c r="H15" s="10" t="str">
        <x:v>tug-equipment-readiness / equipment_readiness</x:v>
      </x:c>
      <x:c r="I15" s="10" t="str">
        <x:v>FR-tug-equipment-readiness-equipment_readiness</x:v>
      </x:c>
      <x:c r="J15" s="10" t="str">
        <x:v>TC-tug-equipment-readiness-equipment_readiness</x:v>
      </x:c>
      <x:c r="K15" s="10" t="str">
        <x:v>PRODUCT_CONTROL + ISM</x:v>
      </x:c>
      <x:c r="L15" s="10" t="str">
        <x:v>https://www.imo.org/en/ourwork/humanelement/pages/ismcode.aspx</x:v>
      </x:c>
    </x:row>
  </x:sheetData>
  <x:pageMargins left="0.7" right="0.7" top="0.75" bottom="0.75" header="0.3" footer="0.3"/>
  <x:tableParts count="1">
    <x:tablePart xmlns:r="http://schemas.openxmlformats.org/officeDocument/2006/relationships" r:id="Rc0c5fd7282fb4c8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62" hidden="0" customWidth="1"/>
    <x:col min="3" max="3" width="54" hidden="0" customWidth="1"/>
    <x:col min="4" max="4" width="56" hidden="0" customWidth="1"/>
    <x:col min="5" max="5" width="50" hidden="0" customWidth="1"/>
    <x:col min="6" max="6" width="34" hidden="0" customWidth="1"/>
    <x:col min="7" max="7" width="27" hidden="0" customWidth="1"/>
    <x:col min="8" max="8" width="82" hidden="0" customWidth="1"/>
  </x:cols>
  <x:sheetData>
    <x:row r="1">
      <x:c r="A1" s="16" t="str">
        <x:v>Rule ID</x:v>
      </x:c>
      <x:c r="B1" s="16" t="str">
        <x:v>2025 Yönetmelik konusu</x:v>
      </x:c>
      <x:c r="C1" s="16" t="str">
        <x:v>Product control</x:v>
      </x:c>
      <x:c r="D1" s="16" t="str">
        <x:v>Evidence / record</x:v>
      </x:c>
      <x:c r="E1" s="16" t="str">
        <x:v>Screen(s)</x:v>
      </x:c>
      <x:c r="F1" s="16" t="str">
        <x:v>State / SLA</x:v>
      </x:c>
      <x:c r="G1" s="16" t="str">
        <x:v>Test ID</x:v>
      </x:c>
      <x:c r="H1" s="16" t="str">
        <x:v>Source URL</x:v>
      </x:c>
    </x:row>
    <x:row r="2">
      <x:c r="A2" s="10" t="str">
        <x:v>TR-TUG-24-02</x:v>
      </x:c>
      <x:c r="B2" s="10" t="str">
        <x:v>Hizmetlerin mücbir sebep dışında 7/24 yürütülmesi</x:v>
      </x:c>
      <x:c r="C2" s="10" t="str">
        <x:v>Service availability / duty readiness</x:v>
      </x:c>
      <x:c r="D2" s="10" t="str">
        <x:v>Duty roster, availability, outage reason</x:v>
      </x:c>
      <x:c r="E2" s="10" t="str">
        <x:v>tug-command; tug-job-board</x:v>
      </x:c>
      <x:c r="F2" s="10" t="str">
        <x:v>AVAILABLE / DEGRADED / UNAVAILABLE</x:v>
      </x:c>
      <x:c r="G2" s="10" t="str">
        <x:v>TC-TR-TUG-24-02</x:v>
      </x:c>
      <x:c r="H2" s="10" t="str">
        <x:v>https://www.lexpera.com.tr/resmi-gazete/metin/kilavuzluk-ve-romorkorculuk-hizmetleri-hakkinda-yonetmelik-32810</x:v>
      </x:c>
    </x:row>
    <x:row r="3">
      <x:c r="A3" s="10" t="str">
        <x:v>TR-TUG-24-03</x:v>
      </x:c>
      <x:c r="B3" s="10" t="str">
        <x:v>Arama-kurtarma, kirlilik, yangın, kurtarma-yardım acil görevleri</x:v>
      </x:c>
      <x:c r="C3" s="10" t="str">
        <x:v>Emergency task capability and dispatch evidence</x:v>
      </x:c>
      <x:c r="D3" s="10" t="str">
        <x:v>Emergency assignment, response evidence</x:v>
      </x:c>
      <x:c r="E3" s="10" t="str">
        <x:v>tug-command; tug-job-intake; emergency-readiness</x:v>
      </x:c>
      <x:c r="F3" s="10" t="str">
        <x:v>EMERGENCY_TASK</x:v>
      </x:c>
      <x:c r="G3" s="10" t="str">
        <x:v>TC-TR-TUG-24-03</x:v>
      </x:c>
      <x:c r="H3" s="10" t="str">
        <x:v>https://www.lexpera.com.tr/resmi-gazete/metin/kilavuzluk-ve-romorkorculuk-hizmetleri-hakkinda-yonetmelik-32810</x:v>
      </x:c>
    </x:row>
    <x:row r="4">
      <x:c r="A4" s="10" t="str">
        <x:v>TR-TUG-24-04</x:v>
      </x:c>
      <x:c r="B4" s="10" t="str">
        <x:v>Risk/kaza/kirlilik tespitini derhal sözlü, sonra 24 saat içinde yazılı bildirme</x:v>
      </x:c>
      <x:c r="C4" s="10" t="str">
        <x:v>Regulatory incident notification workflow</x:v>
      </x:c>
      <x:c r="D4" s="10" t="str">
        <x:v>Oral notification timestamp + written report timestamp/ref</x:v>
      </x:c>
      <x:c r="E4" s="10" t="str">
        <x:v>events-learning; safety-inbox</x:v>
      </x:c>
      <x:c r="F4" s="10" t="str">
        <x:v>DUE_24H / SUBMITTED / OVERDUE</x:v>
      </x:c>
      <x:c r="G4" s="10" t="str">
        <x:v>TC-TR-TUG-24-04</x:v>
      </x:c>
      <x:c r="H4" s="10" t="str">
        <x:v>https://www.lexpera.com.tr/resmi-gazete/metin/kilavuzluk-ve-romorkorculuk-hizmetleri-hakkinda-yonetmelik-32810</x:v>
      </x:c>
    </x:row>
    <x:row r="5">
      <x:c r="A5" s="10" t="str">
        <x:v>TR-TUG-24-18</x:v>
      </x:c>
      <x:c r="B5" s="10" t="str">
        <x:v>BP certificate/class/manoeuvrability/fire/insurance/required BP</x:v>
      </x:c>
      <x:c r="C5" s="10" t="str">
        <x:v>Tug compliance profile</x:v>
      </x:c>
      <x:c r="D5" s="10" t="str">
        <x:v>Certificates, BP, class, fire, insurance evidence</x:v>
      </x:c>
      <x:c r="E5" s="10" t="str">
        <x:v>tug-readiness; tug-equipment-readiness; certificate-command-center</x:v>
      </x:c>
      <x:c r="F5" s="10" t="str">
        <x:v>VALID / DUE / EXPIRED / REVIEW_REQUIRED</x:v>
      </x:c>
      <x:c r="G5" s="10" t="str">
        <x:v>TC-TR-TUG-24-18</x:v>
      </x:c>
      <x:c r="H5" s="10" t="str">
        <x:v>https://www.lexpera.com.tr/mevzuat/yonetmelikler/kilavuzluk-ve-romorkorculuk-hizmetleri-hakkinda-yonetmelik-1</x:v>
      </x:c>
    </x:row>
    <x:row r="6">
      <x:c r="A6" s="10" t="str">
        <x:v>TR-TUG-24-20</x:v>
      </x:c>
      <x:c r="B6" s="10" t="str">
        <x:v>Kötü hava/acil durumda gemilerin ivedilikle çıkarılmasına ilişkin ön plan</x:v>
      </x:c>
      <x:c r="C6" s="10" t="str">
        <x:v>Controlled emergency plan + acknowledgement/test</x:v>
      </x:c>
      <x:c r="D6" s="10" t="str">
        <x:v>Approved plan, revision, drill/review evidence</x:v>
      </x:c>
      <x:c r="E6" s="10" t="str">
        <x:v>emergency-readiness; controlled-knowledge</x:v>
      </x:c>
      <x:c r="F6" s="10" t="str">
        <x:v>CURRENT / DUE_REVIEW / MISSING</x:v>
      </x:c>
      <x:c r="G6" s="10" t="str">
        <x:v>TC-TR-TUG-24-20</x:v>
      </x:c>
      <x:c r="H6" s="10" t="str">
        <x:v>https://www.lexpera.com.tr/mevzuat/yonetmelikler/kilavuzluk-ve-romorkorculuk-hizmetleri-hakkinda-yonetmelik-1</x:v>
      </x:c>
    </x:row>
    <x:row r="7">
      <x:c r="A7" s="10" t="str">
        <x:v>TR-TUG-25-03</x:v>
      </x:c>
      <x:c r="B7" s="10" t="str">
        <x:v>İlgili ticari/kanuni kayıt ve hizmet belgelerini en az 5 yıl muhafaza</x:v>
      </x:c>
      <x:c r="C7" s="10" t="str">
        <x:v>Retention policy / legal hold</x:v>
      </x:c>
      <x:c r="D7" s="10" t="str">
        <x:v>Record retention metadata</x:v>
      </x:c>
      <x:c r="E7" s="10" t="str">
        <x:v>controlled-knowledge; audit-ready</x:v>
      </x:c>
      <x:c r="F7" s="10" t="str">
        <x:v>ACTIVE_RETENTION / HOLD / EXPIRED</x:v>
      </x:c>
      <x:c r="G7" s="10" t="str">
        <x:v>TC-TR-TUG-25-03</x:v>
      </x:c>
      <x:c r="H7" s="10" t="str">
        <x:v>https://www.lexpera.com.tr/mevzuat/yonetmelikler/kilavuzluk-ve-romorkorculuk-hizmetleri-hakkinda-yonetmelik-1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8" hidden="0" customWidth="1"/>
    <x:col min="3" max="3" width="32" hidden="0" customWidth="1"/>
    <x:col min="4" max="4" width="36" hidden="0" customWidth="1"/>
    <x:col min="5" max="5" width="48" hidden="0" customWidth="1"/>
    <x:col min="6" max="6" width="48" hidden="0" customWidth="1"/>
    <x:col min="7" max="7" width="82" hidden="0" customWidth="1"/>
    <x:col min="8" max="8" width="10" hidden="0" customWidth="1"/>
  </x:cols>
  <x:sheetData>
    <x:row r="1">
      <x:c r="A1" s="16" t="str">
        <x:v>Trace ID</x:v>
      </x:c>
      <x:c r="B1" s="16" t="str">
        <x:v>Source Rule</x:v>
      </x:c>
      <x:c r="C1" s="16" t="str">
        <x:v>Screen</x:v>
      </x:c>
      <x:c r="D1" s="16" t="str">
        <x:v>Field / State</x:v>
      </x:c>
      <x:c r="E1" s="16" t="str">
        <x:v>Functional Requirement</x:v>
      </x:c>
      <x:c r="F1" s="16" t="str">
        <x:v>Test Case</x:v>
      </x:c>
      <x:c r="G1" s="16" t="str">
        <x:v>Expected behavior</x:v>
      </x:c>
      <x:c r="H1" s="16" t="str">
        <x:v>Priority</x:v>
      </x:c>
    </x:row>
    <x:row r="2">
      <x:c r="A2" s="10" t="str">
        <x:v>TRACE-CREW-01</x:v>
      </x:c>
      <x:c r="B2" s="10" t="str">
        <x:v>MSMD + Donatım Çizelge 11</x:v>
      </x:c>
      <x:c r="C2" s="10" t="str">
        <x:v>tug-crew-readiness</x:v>
      </x:c>
      <x:c r="D2" s="10" t="str">
        <x:v>minimum_manning_state</x:v>
      </x:c>
      <x:c r="E2" s="10" t="str">
        <x:v>FR-tug-crew-readiness-minimum_manning_state</x:v>
      </x:c>
      <x:c r="F2" s="10" t="str">
        <x:v>TC-tug-crew-readiness-minimum_manning_state</x:v>
      </x:c>
      <x:c r="G2" s="10" t="str">
        <x:v>Actual crew must meet verified MSMD; source mismatch → REVIEW_REQUIRED</x:v>
      </x:c>
      <x:c r="H2" s="10" t="str">
        <x:v>P0</x:v>
      </x:c>
    </x:row>
    <x:row r="3">
      <x:c r="A3" s="10" t="str">
        <x:v>TRACE-CREW-02</x:v>
      </x:c>
      <x:c r="B3" s="10" t="str">
        <x:v>2024 Gemiadamları Yön. Madde 59</x:v>
      </x:c>
      <x:c r="C3" s="10" t="str">
        <x:v>tug-crew-readiness</x:v>
      </x:c>
      <x:c r="D3" s="10" t="str">
        <x:v>certificate_state</x:v>
      </x:c>
      <x:c r="E3" s="10" t="str">
        <x:v>FR-tug-crew-readiness-certificate_state</x:v>
      </x:c>
      <x:c r="F3" s="10" t="str">
        <x:v>TC-tug-crew-readiness-certificate_state</x:v>
      </x:c>
      <x:c r="G3" s="10" t="str">
        <x:v>Assigned crew credential/health/records available and valid</x:v>
      </x:c>
      <x:c r="H3" s="10" t="str">
        <x:v>P0</x:v>
      </x:c>
    </x:row>
    <x:row r="4">
      <x:c r="A4" s="10" t="str">
        <x:v>TRACE-CREW-03</x:v>
      </x:c>
      <x:c r="B4" s="10" t="str">
        <x:v>2024 Gemiadamları Yön. Madde 60</x:v>
      </x:c>
      <x:c r="C4" s="10" t="str">
        <x:v>tug-crew-readiness</x:v>
      </x:c>
      <x:c r="D4" s="10" t="str">
        <x:v>familiarization_state</x:v>
      </x:c>
      <x:c r="E4" s="10" t="str">
        <x:v>FR-tug-crew-readiness-familiarization_state</x:v>
      </x:c>
      <x:c r="F4" s="10" t="str">
        <x:v>TC-tug-crew-readiness-familiarization_state</x:v>
      </x:c>
      <x:c r="G4" s="10" t="str">
        <x:v>New crew familiarization complete before full readiness</x:v>
      </x:c>
      <x:c r="H4" s="10" t="str">
        <x:v>P0</x:v>
      </x:c>
    </x:row>
    <x:row r="5">
      <x:c r="A5" s="10" t="str">
        <x:v>TRACE-CREW-04</x:v>
      </x:c>
      <x:c r="B5" s="10" t="str">
        <x:v>2024 Gemiadamları Yön. Madde 57/58</x:v>
      </x:c>
      <x:c r="C5" s="10" t="str">
        <x:v>tug-crew-readiness</x:v>
      </x:c>
      <x:c r="D5" s="10" t="str">
        <x:v>work_rest_state</x:v>
      </x:c>
      <x:c r="E5" s="10" t="str">
        <x:v>FR-tug-crew-readiness-work_rest_state</x:v>
      </x:c>
      <x:c r="F5" s="10" t="str">
        <x:v>TC-tug-crew-readiness-work_rest_state</x:v>
      </x:c>
      <x:c r="G5" s="10" t="str">
        <x:v>Rest/watch violation cannot silently produce READY</x:v>
      </x:c>
      <x:c r="H5" s="10" t="str">
        <x:v>P0</x:v>
      </x:c>
    </x:row>
    <x:row r="6">
      <x:c r="A6" s="10" t="str">
        <x:v>TRACE-CREW-05</x:v>
      </x:c>
      <x:c r="B6" s="10" t="str">
        <x:v>Çizelge 11 Note 7</x:v>
      </x:c>
      <x:c r="C6" s="10" t="str">
        <x:v>tug-crew-readiness</x:v>
      </x:c>
      <x:c r="D6" s="10" t="str">
        <x:v>crew_count</x:v>
      </x:c>
      <x:c r="E6" s="10" t="str">
        <x:v>FR-tug-escort-extra-able-seaman</x:v>
      </x:c>
      <x:c r="F6" s="10" t="str">
        <x:v>TC-tug-escort-extra-able-seaman</x:v>
      </x:c>
      <x:c r="G6" s="10" t="str">
        <x:v>Istanbul/Dardanelles escort context adds one Able Seaman; current source version monitored</x:v>
      </x:c>
      <x:c r="H6" s="10" t="str">
        <x:v>P0</x:v>
      </x:c>
    </x:row>
    <x:row r="7">
      <x:c r="A7" s="10" t="str">
        <x:v>TRACE-BP-01</x:v>
      </x:c>
      <x:c r="B7" s="10" t="str">
        <x:v>2025 Yönetmelik 24/18</x:v>
      </x:c>
      <x:c r="C7" s="10" t="str">
        <x:v>tug-readiness</x:v>
      </x:c>
      <x:c r="D7" s="10" t="str">
        <x:v>bollard_pull_margin</x:v>
      </x:c>
      <x:c r="E7" s="10" t="str">
        <x:v>FR-tug-readiness-bollard_pull_margin</x:v>
      </x:c>
      <x:c r="F7" s="10" t="str">
        <x:v>TC-tug-readiness-bollard_pull_margin</x:v>
      </x:c>
      <x:c r="G7" s="10" t="str">
        <x:v>Unverified/expired BP evidence cannot be trusted for READY assignment</x:v>
      </x:c>
      <x:c r="H7" s="10" t="str">
        <x:v>P0</x:v>
      </x:c>
    </x:row>
    <x:row r="8">
      <x:c r="A8" s="10" t="str">
        <x:v>TRACE-M79-01</x:v>
      </x:c>
      <x:c r="B8" s="10" t="str">
        <x:v>IACS UR M79 Rev1</x:v>
      </x:c>
      <x:c r="C8" s="10" t="str">
        <x:v>tug-equipment-readiness</x:v>
      </x:c>
      <x:c r="D8" s="10" t="str">
        <x:v>emergency_release_state</x:v>
      </x:c>
      <x:c r="E8" s="10" t="str">
        <x:v>FR-tug-equipment-readiness-emergency_release_state</x:v>
      </x:c>
      <x:c r="F8" s="10" t="str">
        <x:v>TC-tug-equipment-readiness-emergency_release_state</x:v>
      </x:c>
      <x:c r="G8" s="10" t="str">
        <x:v>Applicable winch ERS failure blocks equipment READY</x:v>
      </x:c>
      <x:c r="H8" s="10" t="str">
        <x:v>P0</x:v>
      </x:c>
    </x:row>
    <x:row r="9">
      <x:c r="A9" s="10" t="str">
        <x:v>TRACE-Z18-01</x:v>
      </x:c>
      <x:c r="B9" s="10" t="str">
        <x:v>IACS UR Z18 Rev9</x:v>
      </x:c>
      <x:c r="C9" s="10" t="str">
        <x:v>survey-planner</x:v>
      </x:c>
      <x:c r="D9" s="10" t="str">
        <x:v>emergency_release_annual_survey</x:v>
      </x:c>
      <x:c r="E9" s="10" t="str">
        <x:v>FR-tug-ers-annual-survey</x:v>
      </x:c>
      <x:c r="F9" s="10" t="str">
        <x:v>TC-tug-ers-annual-survey</x:v>
      </x:c>
      <x:c r="G9" s="10" t="str">
        <x:v>Annual survey due/fail feeds tug readiness</x:v>
      </x:c>
      <x:c r="H9" s="10" t="str">
        <x:v>P0</x:v>
      </x:c>
    </x:row>
    <x:row r="10">
      <x:c r="A10" s="10" t="str">
        <x:v>TRACE-Z18-02</x:v>
      </x:c>
      <x:c r="B10" s="10" t="str">
        <x:v>IACS UR Z18 Rev9</x:v>
      </x:c>
      <x:c r="C10" s="10" t="str">
        <x:v>survey-planner</x:v>
      </x:c>
      <x:c r="D10" s="10" t="str">
        <x:v>emergency_release_special_survey</x:v>
      </x:c>
      <x:c r="E10" s="10" t="str">
        <x:v>FR-tug-ers-special-survey</x:v>
      </x:c>
      <x:c r="F10" s="10" t="str">
        <x:v>TC-tug-ers-special-survey</x:v>
      </x:c>
      <x:c r="G10" s="10" t="str">
        <x:v>Special survey test evidence required per applicable class cycle</x:v>
      </x:c>
      <x:c r="H10" s="10" t="str">
        <x:v>P1</x:v>
      </x:c>
    </x:row>
    <x:row r="11">
      <x:c r="A11" s="10" t="str">
        <x:v>TRACE-TR24-04</x:v>
      </x:c>
      <x:c r="B11" s="10" t="str">
        <x:v>2025 Yönetmelik 24/4</x:v>
      </x:c>
      <x:c r="C11" s="10" t="str">
        <x:v>events-learning</x:v>
      </x:c>
      <x:c r="D11" s="10" t="str">
        <x:v>regulatory_notification_state</x:v>
      </x:c>
      <x:c r="E11" s="10" t="str">
        <x:v>FR-tug-regulatory-24h-notification</x:v>
      </x:c>
      <x:c r="F11" s="10" t="str">
        <x:v>TC-tug-regulatory-24h-notification</x:v>
      </x:c>
      <x:c r="G11" s="10" t="str">
        <x:v>Written notification due timer starts after reportable event; overdue escalates</x:v>
      </x:c>
      <x:c r="H11" s="10" t="str">
        <x:v>P0</x:v>
      </x:c>
    </x:row>
    <x:row r="12">
      <x:c r="A12" s="10" t="str">
        <x:v>TRACE-TR24-20</x:v>
      </x:c>
      <x:c r="B12" s="10" t="str">
        <x:v>2025 Yönetmelik 24/20</x:v>
      </x:c>
      <x:c r="C12" s="10" t="str">
        <x:v>emergency-readiness</x:v>
      </x:c>
      <x:c r="D12" s="10" t="str">
        <x:v>emergency_port_evac_plan</x:v>
      </x:c>
      <x:c r="E12" s="10" t="str">
        <x:v>FR-tug-emergency-plan</x:v>
      </x:c>
      <x:c r="F12" s="10" t="str">
        <x:v>TC-tug-emergency-plan</x:v>
      </x:c>
      <x:c r="G12" s="10" t="str">
        <x:v>Missing/expired plan shown as compliance attention</x:v>
      </x:c>
      <x:c r="H12" s="10" t="str">
        <x:v>P1</x:v>
      </x:c>
    </x:row>
    <x:row r="13">
      <x:c r="A13" s="10" t="str">
        <x:v>TRACE-JOB-01</x:v>
      </x:c>
      <x:c r="B13" s="10" t="str">
        <x:v>POSEIDON safety invariant</x:v>
      </x:c>
      <x:c r="C13" s="10" t="str">
        <x:v>tug-assignment</x:v>
      </x:c>
      <x:c r="D13" s="10" t="str">
        <x:v>assignment_state</x:v>
      </x:c>
      <x:c r="E13" s="10" t="str">
        <x:v>FR-tug-assignment-assignment_state</x:v>
      </x:c>
      <x:c r="F13" s="10" t="str">
        <x:v>TC-tug-assignment-assignment_state</x:v>
      </x:c>
      <x:c r="G13" s="10" t="str">
        <x:v>Crew/equipment/cert/PMS blocker prevents RELEASED/READY</x:v>
      </x:c>
      <x:c r="H13" s="10" t="str">
        <x:v>P0</x:v>
      </x:c>
    </x:row>
    <x:row r="14">
      <x:c r="A14" s="10" t="str">
        <x:v>TRACE-AUTH-01</x:v>
      </x:c>
      <x:c r="B14" s="10" t="str">
        <x:v>ISM §5 / POSEIDON authority</x:v>
      </x:c>
      <x:c r="C14" s="10" t="str">
        <x:v>tug-readiness</x:v>
      </x:c>
      <x:c r="D14" s="10" t="str">
        <x:v>master_decision</x:v>
      </x:c>
      <x:c r="E14" s="10" t="str">
        <x:v>FR-tug-readiness-master_decision</x:v>
      </x:c>
      <x:c r="F14" s="10" t="str">
        <x:v>TC-tug-readiness-master_decision</x:v>
      </x:c>
      <x:c r="G14" s="10" t="str">
        <x:v>Shore planner cannot bypass Master/Tug Master onboard decision</x:v>
      </x:c>
      <x:c r="H14" s="10" t="str">
        <x:v>P0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50" hidden="0" customWidth="1"/>
    <x:col min="3" max="3" width="58" hidden="0" customWidth="1"/>
    <x:col min="4" max="4" width="52" hidden="0" customWidth="1"/>
    <x:col min="5" max="5" width="56" hidden="0" customWidth="1"/>
    <x:col min="6" max="6" width="60" hidden="0" customWidth="1"/>
    <x:col min="7" max="7" width="26" hidden="0" customWidth="1"/>
    <x:col min="8" max="8" width="12" hidden="0" customWidth="1"/>
  </x:cols>
  <x:sheetData>
    <x:row r="1">
      <x:c r="A1" s="16" t="str">
        <x:v>ID</x:v>
      </x:c>
      <x:c r="B1" s="16" t="str">
        <x:v>Konu</x:v>
      </x:c>
      <x:c r="C1" s="16" t="str">
        <x:v>Current evidence</x:v>
      </x:c>
      <x:c r="D1" s="16" t="str">
        <x:v>Neden açık</x:v>
      </x:c>
      <x:c r="E1" s="16" t="str">
        <x:v>Required next action</x:v>
      </x:c>
      <x:c r="F1" s="16" t="str">
        <x:v>Blocking behavior</x:v>
      </x:c>
      <x:c r="G1" s="16" t="str">
        <x:v>Owner</x:v>
      </x:c>
      <x:c r="H1" s="16" t="str">
        <x:v>Status</x:v>
      </x:c>
    </x:row>
    <x:row r="2">
      <x:c r="A2" s="10" t="str">
        <x:v>VAL-CREW-01</x:v>
      </x:c>
      <x:c r="B2" s="10" t="str">
        <x:v>2026 Donatım Yönergesi final durumu</x:v>
      </x:c>
      <x:c r="C2" s="10" t="str">
        <x:v>Jan 2026 replacement draft circulated; UAB pages still link existing directive</x:v>
      </x:c>
      <x:c r="D2" s="10" t="str">
        <x:v>Final replacement not located in current search</x:v>
      </x:c>
      <x:c r="E2" s="10" t="str">
        <x:v>Official UAB confirmation / final publication monitor</x:v>
      </x:c>
      <x:c r="F2" s="10" t="str">
        <x:v>Source version change → rule regression; no silent auto-update</x:v>
      </x:c>
      <x:c r="G2" s="10" t="str">
        <x:v>Regulatory Lead</x:v>
      </x:c>
      <x:c r="H2" s="10" t="str">
        <x:v>OPEN</x:v>
      </x:c>
    </x:row>
    <x:row r="3">
      <x:c r="A3" s="10" t="str">
        <x:v>VAL-CREW-02</x:v>
      </x:c>
      <x:c r="B3" s="10" t="str">
        <x:v>2019 Çizelge 11 özel yeterlik notlarının 2024 Yönetmelikle uyumu</x:v>
      </x:c>
      <x:c r="C3" s="10" t="str">
        <x:v>Both sources exist</x:v>
      </x:c>
      <x:c r="D3" s="10" t="str">
        <x:v>Old directive note language may conflict with newer certificate definitions</x:v>
      </x:c>
      <x:c r="E3" s="10" t="str">
        <x:v>Legal/flag-state SME validation + actual MSMD examples</x:v>
      </x:c>
      <x:c r="F3" s="10" t="str">
        <x:v>Special substitution rules remain REVIEW_REQUIRED</x:v>
      </x:c>
      <x:c r="G3" s="10" t="str">
        <x:v>Crewing/Regulatory SME</x:v>
      </x:c>
      <x:c r="H3" s="10" t="str">
        <x:v>OPEN</x:v>
      </x:c>
    </x:row>
    <x:row r="4">
      <x:c r="A4" s="10" t="str">
        <x:v>VAL-EQ-01</x:v>
      </x:c>
      <x:c r="B4" s="10" t="str">
        <x:v>Pilot tug class-specific winch/towline/hook rules</x:v>
      </x:c>
      <x:c r="C4" s="10" t="str">
        <x:v>M79/Z18 generic IACS + class-dependent equipment</x:v>
      </x:c>
      <x:c r="D4" s="10" t="str">
        <x:v>Actual class society/notation unknown</x:v>
      </x:c>
      <x:c r="E4" s="10" t="str">
        <x:v>Obtain pilot tug class status/rules</x:v>
      </x:c>
      <x:c r="F4" s="10" t="str">
        <x:v>Class-specific controls REVIEW_REQUIRED</x:v>
      </x:c>
      <x:c r="G4" s="10" t="str">
        <x:v>Technical/Class SME</x:v>
      </x:c>
      <x:c r="H4" s="10" t="str">
        <x:v>OPEN</x:v>
      </x:c>
    </x:row>
    <x:row r="5">
      <x:c r="A5" s="10" t="str">
        <x:v>VAL-EQ-02</x:v>
      </x:c>
      <x:c r="B5" s="10" t="str">
        <x:v>FiFi requirement/class per pilot tug/service area</x:v>
      </x:c>
      <x:c r="C5" s="10" t="str">
        <x:v>2025 reg requires firefighting equipment; exact class can depend on contract/class</x:v>
      </x:c>
      <x:c r="D5" s="10" t="str">
        <x:v>Exact taahhüt/sözleşme/class not loaded</x:v>
      </x:c>
      <x:c r="E5" s="10" t="str">
        <x:v>Import service contract + class certificate</x:v>
      </x:c>
      <x:c r="F5" s="10" t="str">
        <x:v>No universal FiFi class hard-code</x:v>
      </x:c>
      <x:c r="G5" s="10" t="str">
        <x:v>Technical/Operations</x:v>
      </x:c>
      <x:c r="H5" s="10" t="str">
        <x:v>OPEN</x:v>
      </x:c>
    </x:row>
    <x:row r="6">
      <x:c r="A6" s="10" t="str">
        <x:v>VAL-OPS-01</x:v>
      </x:c>
      <x:c r="B6" s="10" t="str">
        <x:v>Harbour vs sea/ocean towage rule pack</x:v>
      </x:c>
      <x:c r="C6" s="10" t="str">
        <x:v>M79 excludes solely long-distance ocean towage; TL ocean towage separate</x:v>
      </x:c>
      <x:c r="D6" s="10" t="str">
        <x:v>Pilot job mix unknown</x:v>
      </x:c>
      <x:c r="E6" s="10" t="str">
        <x:v>Classify pilot operation profiles</x:v>
      </x:c>
      <x:c r="F6" s="10" t="str">
        <x:v>Wrong rule pack cannot auto-apply</x:v>
      </x:c>
      <x:c r="G6" s="10" t="str">
        <x:v>Marine Ops SME</x:v>
      </x:c>
      <x:c r="H6" s="10" t="str">
        <x:v>OPEN</x:v>
      </x:c>
    </x:row>
    <x:row r="7">
      <x:c r="A7" s="10" t="str">
        <x:v>VAL-LEGAL-01</x:v>
      </x:c>
      <x:c r="B7" s="10" t="str">
        <x:v>2025 Regulation exact service-area/contract obligations</x:v>
      </x:c>
      <x:c r="C7" s="10" t="str">
        <x:v>Regulation + tender/taahhüt may add local obligations</x:v>
      </x:c>
      <x:c r="D7" s="10" t="str">
        <x:v>Customer-specific contract absent</x:v>
      </x:c>
      <x:c r="E7" s="10" t="str">
        <x:v>Import controlled contract/taahhüt and map deltas</x:v>
      </x:c>
      <x:c r="F7" s="10" t="str">
        <x:v>Contract-specific rows REVIEW_REQUIRED</x:v>
      </x:c>
      <x:c r="G7" s="10" t="str">
        <x:v>Legal/Operations</x:v>
      </x:c>
      <x:c r="H7" s="10" t="str">
        <x:v>OPEN</x:v>
      </x:c>
    </x:row>
  </x:sheetData>
  <x:conditionalFormatting sqref="H2:H30">
    <x:cfRule type="expression" dxfId="4" priority="1">
      <x:formula>H2="VALIDATED"</x:formula>
    </x:cfRule>
    <x:cfRule type="expression" dxfId="5" priority="2">
      <x:formula>H2="OPEN"</x:formula>
    </x:cfRule>
  </x:conditionalFormatting>
  <x:dataValidations count="1">
    <x:dataValidation type="list" sqref="H2:H30">
      <x:formula1>"OPEN,IN REVIEW,VALIDATED,SUPERSEDED"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4" hidden="0" customWidth="1"/>
    <x:col min="4" max="4" width="28" hidden="0" customWidth="1"/>
    <x:col min="5" max="5" width="14" hidden="0" customWidth="1"/>
  </x:cols>
  <x:sheetData>
    <x:row r="1">
      <x:c r="A1" s="18" t="str">
        <x:v>POSEIDON v46.2 — Römorkör Crew &amp; Equipment Regulatory Dashboard</x:v>
      </x:c>
      <x:c r="B1" s="18"/>
      <x:c r="C1" s="18"/>
      <x:c r="D1" s="18"/>
      <x:c r="E1" s="18"/>
      <x:c r="F1" s="18"/>
      <x:c r="G1" s="18"/>
      <x:c r="H1" s="18"/>
    </x:row>
    <x:row r="3">
      <x:c r="A3" s="21" t="str">
        <x:v>KPI</x:v>
      </x:c>
      <x:c r="B3" s="21" t="str">
        <x:v>Value</x:v>
      </x:c>
      <x:c r="D3" s="21" t="str">
        <x:v>Control Area</x:v>
      </x:c>
      <x:c r="E3" s="21" t="str">
        <x:v>Rows</x:v>
      </x:c>
    </x:row>
    <x:row r="4">
      <x:c r="A4" t="str">
        <x:v>Deck manning rules</x:v>
      </x:c>
      <x:c r="B4" t="n">
        <x:v>12</x:v>
      </x:c>
      <x:c r="D4" t="str">
        <x:v>Crew / Manning</x:v>
      </x:c>
      <x:c r="E4" t="n">
        <x:v>44</x:v>
      </x:c>
    </x:row>
    <x:row r="5">
      <x:c r="A5" t="str">
        <x:v>Engine manning rules</x:v>
      </x:c>
      <x:c r="B5" t="n">
        <x:v>12</x:v>
      </x:c>
      <x:c r="D5" t="str">
        <x:v>Equipment / Class</x:v>
      </x:c>
      <x:c r="E5" t="n">
        <x:v>14</x:v>
      </x:c>
    </x:row>
    <x:row r="6">
      <x:c r="A6" t="str">
        <x:v>Manning special notes</x:v>
      </x:c>
      <x:c r="B6" t="n">
        <x:v>9</x:v>
      </x:c>
      <x:c r="D6" t="str">
        <x:v>Service obligations</x:v>
      </x:c>
      <x:c r="E6" t="n">
        <x:v>6</x:v>
      </x:c>
    </x:row>
    <x:row r="7">
      <x:c r="A7" t="str">
        <x:v>Eligibility steps</x:v>
      </x:c>
      <x:c r="B7" t="n">
        <x:v>11</x:v>
      </x:c>
      <x:c r="D7" t="str">
        <x:v>FR/Test bindings</x:v>
      </x:c>
      <x:c r="E7" t="n">
        <x:v>13</x:v>
      </x:c>
    </x:row>
    <x:row r="8">
      <x:c r="A8" t="str">
        <x:v>Equipment/class rules</x:v>
      </x:c>
      <x:c r="B8" t="n">
        <x:v>14</x:v>
      </x:c>
    </x:row>
    <x:row r="9">
      <x:c r="A9" t="str">
        <x:v>2025 service controls</x:v>
      </x:c>
      <x:c r="B9" t="n">
        <x:v>6</x:v>
      </x:c>
    </x:row>
    <x:row r="10">
      <x:c r="A10" t="str">
        <x:v>Open validation items</x:v>
      </x:c>
      <x:c r="B10" t="n">
        <x:v>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ca3d85c3bc94871"/>
</x:worksheet>
</file>