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ba70ef950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c5382d8ebc78432d"/>
    <x:sheet xmlns:r="http://schemas.openxmlformats.org/officeDocument/2006/relationships" name="Input Catalog" sheetId="2" r:id="Rc8496a2d53c44498"/>
    <x:sheet xmlns:r="http://schemas.openxmlformats.org/officeDocument/2006/relationships" name="Rule Catalog" sheetId="3" r:id="R00dada3bef5647de"/>
    <x:sheet xmlns:r="http://schemas.openxmlformats.org/officeDocument/2006/relationships" name="Conflict &amp; Resolution" sheetId="4" r:id="Rde70a2dcac62411c"/>
    <x:sheet xmlns:r="http://schemas.openxmlformats.org/officeDocument/2006/relationships" name="Output Activation" sheetId="5" r:id="Rc69f22274bd14da3"/>
    <x:sheet xmlns:r="http://schemas.openxmlformats.org/officeDocument/2006/relationships" name="API Contract" sheetId="6" r:id="R25bfe888a1404a69"/>
    <x:sheet xmlns:r="http://schemas.openxmlformats.org/officeDocument/2006/relationships" name="Golden Profiles" sheetId="7" r:id="Rb1c8bb8adb714251"/>
    <x:sheet xmlns:r="http://schemas.openxmlformats.org/officeDocument/2006/relationships" name="Golden Tests" sheetId="8" r:id="Rd604b3e7c50740a0"/>
    <x:sheet xmlns:r="http://schemas.openxmlformats.org/officeDocument/2006/relationships" name="Simulator" sheetId="9" r:id="Re216e67cdd5a4a20"/>
    <x:sheet xmlns:r="http://schemas.openxmlformats.org/officeDocument/2006/relationships" name="Rule Lifecycle" sheetId="10" r:id="R0db14e5bb2e64d13"/>
    <x:sheet xmlns:r="http://schemas.openxmlformats.org/officeDocument/2006/relationships" name="Dashboard" sheetId="11" r:id="Ra13c2e021904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6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fb19e205a4a91" /><Relationship Type="http://schemas.openxmlformats.org/officeDocument/2006/relationships/theme" Target="/xl/theme/theme1.xml" Id="Rae8610966b6c4f8a" /><Relationship Type="http://schemas.openxmlformats.org/officeDocument/2006/relationships/sharedStrings" Target="/xl/sharedStrings.xml" Id="R4afa18240d2847c5" /><Relationship Type="http://schemas.openxmlformats.org/officeDocument/2006/relationships/worksheet" Target="/xl/worksheets/sheet1.xml" Id="Rc5382d8ebc78432d" /><Relationship Type="http://schemas.openxmlformats.org/officeDocument/2006/relationships/worksheet" Target="/xl/worksheets/sheet2.xml" Id="Rc8496a2d53c44498" /><Relationship Type="http://schemas.openxmlformats.org/officeDocument/2006/relationships/worksheet" Target="/xl/worksheets/sheet3.xml" Id="R00dada3bef5647de" /><Relationship Type="http://schemas.openxmlformats.org/officeDocument/2006/relationships/worksheet" Target="/xl/worksheets/sheet4.xml" Id="Rde70a2dcac62411c" /><Relationship Type="http://schemas.openxmlformats.org/officeDocument/2006/relationships/worksheet" Target="/xl/worksheets/sheet5.xml" Id="Rc69f22274bd14da3" /><Relationship Type="http://schemas.openxmlformats.org/officeDocument/2006/relationships/worksheet" Target="/xl/worksheets/sheet6.xml" Id="R25bfe888a1404a69" /><Relationship Type="http://schemas.openxmlformats.org/officeDocument/2006/relationships/worksheet" Target="/xl/worksheets/sheet7.xml" Id="Rb1c8bb8adb714251" /><Relationship Type="http://schemas.openxmlformats.org/officeDocument/2006/relationships/worksheet" Target="/xl/worksheets/sheet8.xml" Id="Rd604b3e7c50740a0" /><Relationship Type="http://schemas.openxmlformats.org/officeDocument/2006/relationships/worksheet" Target="/xl/worksheets/sheet9.xml" Id="Re216e67cdd5a4a20" /><Relationship Type="http://schemas.openxmlformats.org/officeDocument/2006/relationships/worksheet" Target="/xl/worksheets/sheet10.xml" Id="R0db14e5bb2e64d13" /><Relationship Type="http://schemas.openxmlformats.org/officeDocument/2006/relationships/worksheet" Target="/xl/worksheets/sheet11.xml" Id="Ra13c2e02190442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972eb67b3b41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Reference Rules by Mode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Rules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972eb67b3b41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Catalog" displayName="InputCatalog" ref="A1:H24" headerRowCount="1" totalsRowCount="0" totalsRowShown="0">
  <x:tableColumns count="8">
    <x:tableColumn id="1" name="Input Path"/>
    <x:tableColumn id="2" name="Domain"/>
    <x:tableColumn id="3" name="Type"/>
    <x:tableColumn id="4" name="Required?"/>
    <x:tableColumn id="5" name="Example"/>
    <x:tableColumn id="6" name="Unknown behavior"/>
    <x:tableColumn id="7" name="Source/Owner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Catalog" displayName="RuleCatalog" ref="A1:M21" headerRowCount="1" totalsRowCount="0" totalsRowShown="0">
  <x:tableColumns count="13">
    <x:tableColumn id="1" name="Rule ID"/>
    <x:tableColumn id="2" name="Source"/>
    <x:tableColumn id="3" name="Layer"/>
    <x:tableColumn id="4" name="Mode"/>
    <x:tableColumn id="5" name="Lifecycle"/>
    <x:tableColumn id="6" name="Effective From"/>
    <x:tableColumn id="7" name="Predicate Summary"/>
    <x:tableColumn id="8" name="Positive Result"/>
    <x:tableColumn id="9" name="Activates"/>
    <x:tableColumn id="10" name="Unknown Policy"/>
    <x:tableColumn id="11" name="Priority"/>
    <x:tableColumn id="12" name="Human Review"/>
    <x:tableColumn id="13" name="Test Tr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00f706e9b24c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8afd8bb4dd45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a6a74d9ee54ce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8" t="str">
        <x:v>POSEIDON v46.2</x:v>
      </x:c>
      <x:c r="B1" s="8" t="str">
        <x:v>Dynamic Applicability Engine Decision Matrix</x:v>
      </x:c>
    </x:row>
    <x:row r="2">
      <x:c r="A2" s="9" t="str">
        <x:v>Scope</x:v>
      </x:c>
      <x:c r="B2" s="10" t="str">
        <x:v>GEMİ + RÖMORKÖR</x:v>
      </x:c>
    </x:row>
    <x:row r="3">
      <x:c r="A3" s="9" t="str">
        <x:v>Engine semantics</x:v>
      </x:c>
      <x:c r="B3" s="10" t="str">
        <x:v>Three-valued logic: TRUE / FALSE / UNKNOWN</x:v>
      </x:c>
    </x:row>
    <x:row r="4">
      <x:c r="A4" s="9" t="str">
        <x:v>Applicability result</x:v>
      </x:c>
      <x:c r="B4" s="10" t="str">
        <x:v>APPLICABLE / NOT_APPLICABLE / REVIEW_REQUIRED</x:v>
      </x:c>
    </x:row>
    <x:row r="5">
      <x:c r="A5" s="9" t="str">
        <x:v>Primary inputs</x:v>
      </x:c>
      <x:c r="B5" s="10" t="str">
        <x:v>Mode, date, flag, class, vessel type, GT/kW, build/contract date, voyage/area, cargo/job, equipment, crew, evidence/source state</x:v>
      </x:c>
    </x:row>
    <x:row r="6">
      <x:c r="A6" s="9" t="str">
        <x:v>Output activation</x:v>
      </x:c>
      <x:c r="B6" s="10" t="str">
        <x:v>Requirement, Control, Screen, Field, Evidence Policy, Verification Gate, Test, Notification</x:v>
      </x:c>
    </x:row>
    <x:row r="7">
      <x:c r="A7" s="9" t="str">
        <x:v>Unknown policy</x:v>
      </x:c>
      <x:c r="B7" s="10" t="str">
        <x:v>Critical UNKNOWN → REVIEW_REQUIRED; false-green prohibited</x:v>
      </x:c>
    </x:row>
    <x:row r="8">
      <x:c r="A8" s="9" t="str">
        <x:v>Conflict rule</x:v>
      </x:c>
      <x:c r="B8" s="10" t="str">
        <x:v>Parallel applicable obligations are preserved; source conflict is not silently resolved by numeric priority</x:v>
      </x:c>
    </x:row>
    <x:row r="9">
      <x:c r="A9" s="9" t="str">
        <x:v>Version rule</x:v>
      </x:c>
      <x:c r="B9" s="10" t="str">
        <x:v>Evaluation is reproducible by ruleSetVersion + sourceVersion + evaluationDate</x:v>
      </x:c>
    </x:row>
    <x:row r="10">
      <x:c r="A10" s="9" t="str">
        <x:v>Human authority</x:v>
      </x:c>
      <x:c r="B10" s="10" t="str">
        <x:v>Legal/safety override requires authorized human, reason and audit; AI cannot publish applicability</x:v>
      </x:c>
    </x:row>
    <x:row r="11">
      <x:c r="A11" s="9" t="str">
        <x:v>Workbook role</x:v>
      </x:c>
      <x:c r="B11" s="10" t="str">
        <x:v>Reference decision tables + golden tests + simulator; production engine is JSON/DB-backed</x:v>
      </x:c>
    </x:row>
    <x:row r="12">
      <x:c r="A12" s="9"/>
      <x:c r="B12" s="10"/>
    </x:row>
    <x:row r="13">
      <x:c r="A13" s="9"/>
      <x:c r="B13" s="10"/>
    </x:row>
    <x:row r="14">
      <x:c r="A14" s="9"/>
      <x:c r="B14" s="10"/>
    </x:row>
    <x:row r="15">
      <x:c r="A15" s="9"/>
      <x:c r="B15" s="10"/>
    </x:row>
    <x:row r="16">
      <x:c r="A16" s="9"/>
      <x:c r="B16" s="10"/>
    </x:row>
    <x:row r="17">
      <x:c r="A17" s="9"/>
      <x:c r="B17" s="10"/>
    </x:row>
    <x:row r="18">
      <x:c r="A18" s="9"/>
      <x:c r="B18" s="10"/>
    </x:row>
    <x:row r="19">
      <x:c r="A19" s="9"/>
      <x:c r="B19" s="10"/>
    </x:row>
    <x:row r="20">
      <x:c r="A20" s="9"/>
      <x:c r="B2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20" hidden="0" customWidth="1"/>
    <x:col min="4" max="4" width="14" hidden="0" customWidth="1"/>
    <x:col min="5" max="5" width="24" hidden="0" customWidth="1"/>
    <x:col min="6" max="6" width="48" hidden="0" customWidth="1"/>
    <x:col min="7" max="7" width="28" hidden="0" customWidth="1"/>
    <x:col min="8" max="8" width="50" hidden="0" customWidth="1"/>
  </x:cols>
  <x:sheetData>
    <x:row r="1">
      <x:c r="A1" s="16" t="str">
        <x:v>Input Path</x:v>
      </x:c>
      <x:c r="B1" s="16" t="str">
        <x:v>Domain</x:v>
      </x:c>
      <x:c r="C1" s="16" t="str">
        <x:v>Type</x:v>
      </x:c>
      <x:c r="D1" s="16" t="str">
        <x:v>Required?</x:v>
      </x:c>
      <x:c r="E1" s="16" t="str">
        <x:v>Example</x:v>
      </x:c>
      <x:c r="F1" s="16" t="str">
        <x:v>Unknown behavior</x:v>
      </x:c>
      <x:c r="G1" s="16" t="str">
        <x:v>Source/Owner</x:v>
      </x:c>
      <x:c r="H1" s="16" t="str">
        <x:v>Notes</x:v>
      </x:c>
    </x:row>
    <x:row r="2">
      <x:c r="A2" s="10" t="str">
        <x:v>context.mode</x:v>
      </x:c>
      <x:c r="B2" s="10" t="str">
        <x:v>Context</x:v>
      </x:c>
      <x:c r="C2" s="10" t="str">
        <x:v>Enum SHIP/TUG</x:v>
      </x:c>
      <x:c r="D2" s="10" t="str">
        <x:v>Yes</x:v>
      </x:c>
      <x:c r="E2" s="10" t="str">
        <x:v>TUG</x:v>
      </x:c>
      <x:c r="F2" s="10" t="str">
        <x:v>Reject evaluation</x:v>
      </x:c>
      <x:c r="G2" s="10" t="str">
        <x:v>System</x:v>
      </x:c>
      <x:c r="H2" s="10" t="str">
        <x:v>Two first-class modes</x:v>
      </x:c>
    </x:row>
    <x:row r="3">
      <x:c r="A3" s="10" t="str">
        <x:v>evaluationDate</x:v>
      </x:c>
      <x:c r="B3" s="10" t="str">
        <x:v>Context</x:v>
      </x:c>
      <x:c r="C3" s="10" t="str">
        <x:v>Date</x:v>
      </x:c>
      <x:c r="D3" s="10" t="str">
        <x:v>Yes</x:v>
      </x:c>
      <x:c r="E3" s="10" t="str">
        <x:v>2026-10-04</x:v>
      </x:c>
      <x:c r="F3" s="10" t="str">
        <x:v>Reject evaluation</x:v>
      </x:c>
      <x:c r="G3" s="10" t="str">
        <x:v>System</x:v>
      </x:c>
      <x:c r="H3" s="10" t="str">
        <x:v>Determines effective rule version</x:v>
      </x:c>
    </x:row>
    <x:row r="4">
      <x:c r="A4" s="10" t="str">
        <x:v>vessel.flag</x:v>
      </x:c>
      <x:c r="B4" s="10" t="str">
        <x:v>Vessel</x:v>
      </x:c>
      <x:c r="C4" s="10" t="str">
        <x:v>ISO/Enum</x:v>
      </x:c>
      <x:c r="D4" s="10" t="str">
        <x:v>Yes</x:v>
      </x:c>
      <x:c r="E4" s="10" t="str">
        <x:v>TR</x:v>
      </x:c>
      <x:c r="F4" s="10" t="str">
        <x:v>REVIEW_REQUIRED for flag overlays</x:v>
      </x:c>
      <x:c r="G4" s="10" t="str">
        <x:v>Vessel Master</x:v>
      </x:c>
      <x:c r="H4" s="10" t="str"/>
    </x:row>
    <x:row r="5">
      <x:c r="A5" s="10" t="str">
        <x:v>vessel.type</x:v>
      </x:c>
      <x:c r="B5" s="10" t="str">
        <x:v>Vessel</x:v>
      </x:c>
      <x:c r="C5" s="10" t="str">
        <x:v>Enum</x:v>
      </x:c>
      <x:c r="D5" s="10" t="str">
        <x:v>Yes</x:v>
      </x:c>
      <x:c r="E5" s="10" t="str">
        <x:v>ASD_TUG</x:v>
      </x:c>
      <x:c r="F5" s="10" t="str">
        <x:v>REVIEW_REQUIRED for type-specific rules</x:v>
      </x:c>
      <x:c r="G5" s="10" t="str">
        <x:v>Vessel Master</x:v>
      </x:c>
      <x:c r="H5" s="10" t="str">
        <x:v>Ship subtype or tug subtype</x:v>
      </x:c>
    </x:row>
    <x:row r="6">
      <x:c r="A6" s="10" t="str">
        <x:v>vessel.gt</x:v>
      </x:c>
      <x:c r="B6" s="10" t="str">
        <x:v>Vessel</x:v>
      </x:c>
      <x:c r="C6" s="10" t="str">
        <x:v>Numeric</x:v>
      </x:c>
      <x:c r="D6" s="10" t="str">
        <x:v>Conditional</x:v>
      </x:c>
      <x:c r="E6" s="10" t="str">
        <x:v>420</x:v>
      </x:c>
      <x:c r="F6" s="10" t="str">
        <x:v>REVIEW_REQUIRED if GT predicate material</x:v>
      </x:c>
      <x:c r="G6" s="10" t="str">
        <x:v>Verified vessel profile</x:v>
      </x:c>
      <x:c r="H6" s="10" t="str"/>
    </x:row>
    <x:row r="7">
      <x:c r="A7" s="10" t="str">
        <x:v>vessel.mainPropulsionKw</x:v>
      </x:c>
      <x:c r="B7" s="10" t="str">
        <x:v>Vessel</x:v>
      </x:c>
      <x:c r="C7" s="10" t="str">
        <x:v>Numeric</x:v>
      </x:c>
      <x:c r="D7" s="10" t="str">
        <x:v>Conditional</x:v>
      </x:c>
      <x:c r="E7" s="10" t="str">
        <x:v>3600</x:v>
      </x:c>
      <x:c r="F7" s="10" t="str">
        <x:v>REVIEW_REQUIRED if kW predicate material</x:v>
      </x:c>
      <x:c r="G7" s="10" t="str">
        <x:v>Verified vessel profile</x:v>
      </x:c>
      <x:c r="H7" s="10" t="str"/>
    </x:row>
    <x:row r="8">
      <x:c r="A8" s="10" t="str">
        <x:v>vessel.buildDate</x:v>
      </x:c>
      <x:c r="B8" s="10" t="str">
        <x:v>Vessel</x:v>
      </x:c>
      <x:c r="C8" s="10" t="str">
        <x:v>Date</x:v>
      </x:c>
      <x:c r="D8" s="10" t="str">
        <x:v>Conditional</x:v>
      </x:c>
      <x:c r="E8" s="10" t="str">
        <x:v>2022-04-01</x:v>
      </x:c>
      <x:c r="F8" s="10" t="str">
        <x:v>REVIEW_REQUIRED</x:v>
      </x:c>
      <x:c r="G8" s="10" t="str">
        <x:v>Verified vessel profile</x:v>
      </x:c>
      <x:c r="H8" s="10" t="str"/>
    </x:row>
    <x:row r="9">
      <x:c r="A9" s="10" t="str">
        <x:v>vessel.contractForConstructionDate</x:v>
      </x:c>
      <x:c r="B9" s="10" t="str">
        <x:v>Vessel</x:v>
      </x:c>
      <x:c r="C9" s="10" t="str">
        <x:v>Date</x:v>
      </x:c>
      <x:c r="D9" s="10" t="str">
        <x:v>Conditional</x:v>
      </x:c>
      <x:c r="E9" s="10" t="str">
        <x:v>2022-03-14</x:v>
      </x:c>
      <x:c r="F9" s="10" t="str">
        <x:v>REVIEW_REQUIRED</x:v>
      </x:c>
      <x:c r="G9" s="10" t="str">
        <x:v>Class/build records</x:v>
      </x:c>
      <x:c r="H9" s="10" t="str">
        <x:v>Important for class rules</x:v>
      </x:c>
    </x:row>
    <x:row r="10">
      <x:c r="A10" s="10" t="str">
        <x:v>vessel.classSociety</x:v>
      </x:c>
      <x:c r="B10" s="10" t="str">
        <x:v>Vessel</x:v>
      </x:c>
      <x:c r="C10" s="10" t="str">
        <x:v>Reference</x:v>
      </x:c>
      <x:c r="D10" s="10" t="str">
        <x:v>Conditional</x:v>
      </x:c>
      <x:c r="E10" s="10" t="str">
        <x:v>DEMO_CLASS</x:v>
      </x:c>
      <x:c r="F10" s="10" t="str">
        <x:v>REVIEW_REQUIRED for class rules</x:v>
      </x:c>
      <x:c r="G10" s="10" t="str">
        <x:v>Class status</x:v>
      </x:c>
      <x:c r="H10" s="10" t="str"/>
    </x:row>
    <x:row r="11">
      <x:c r="A11" s="10" t="str">
        <x:v>vessel.tradingArea</x:v>
      </x:c>
      <x:c r="B11" s="10" t="str">
        <x:v>Operation Context</x:v>
      </x:c>
      <x:c r="C11" s="10" t="str">
        <x:v>Enum/Text</x:v>
      </x:c>
      <x:c r="D11" s="10" t="str">
        <x:v>Conditional</x:v>
      </x:c>
      <x:c r="E11" s="10" t="str">
        <x:v>International</x:v>
      </x:c>
      <x:c r="F11" s="10" t="str">
        <x:v>REVIEW_REQUIRED</x:v>
      </x:c>
      <x:c r="G11" s="10" t="str">
        <x:v>Vessel profile</x:v>
      </x:c>
      <x:c r="H11" s="10" t="str"/>
    </x:row>
    <x:row r="12">
      <x:c r="A12" s="10" t="str">
        <x:v>vessel.operatingArea</x:v>
      </x:c>
      <x:c r="B12" s="10" t="str">
        <x:v>Operation Context</x:v>
      </x:c>
      <x:c r="C12" s="10" t="str">
        <x:v>Text/Reference</x:v>
      </x:c>
      <x:c r="D12" s="10" t="str">
        <x:v>Conditional</x:v>
      </x:c>
      <x:c r="E12" s="10" t="str">
        <x:v>KOCAELI</x:v>
      </x:c>
      <x:c r="F12" s="10" t="str">
        <x:v>REVIEW_REQUIRED for local overlay</x:v>
      </x:c>
      <x:c r="G12" s="10" t="str">
        <x:v>Job/Vessel context</x:v>
      </x:c>
      <x:c r="H12" s="10" t="str"/>
    </x:row>
    <x:row r="13">
      <x:c r="A13" s="10" t="str">
        <x:v>operation.jobType</x:v>
      </x:c>
      <x:c r="B13" s="10" t="str">
        <x:v>Operation</x:v>
      </x:c>
      <x:c r="C13" s="10" t="str">
        <x:v>Enum</x:v>
      </x:c>
      <x:c r="D13" s="10" t="str">
        <x:v>Conditional</x:v>
      </x:c>
      <x:c r="E13" s="10" t="str">
        <x:v>HARBOUR_ASSIST</x:v>
      </x:c>
      <x:c r="F13" s="10" t="str">
        <x:v>REVIEW_REQUIRED for tug job rules</x:v>
      </x:c>
      <x:c r="G13" s="10" t="str">
        <x:v>Job Intake</x:v>
      </x:c>
      <x:c r="H13" s="10" t="str"/>
    </x:row>
    <x:row r="14">
      <x:c r="A14" s="10" t="str">
        <x:v>operation.profile</x:v>
      </x:c>
      <x:c r="B14" s="10" t="str">
        <x:v>Operation</x:v>
      </x:c>
      <x:c r="C14" s="10" t="str">
        <x:v>Enum</x:v>
      </x:c>
      <x:c r="D14" s="10" t="str">
        <x:v>Conditional</x:v>
      </x:c>
      <x:c r="E14" s="10" t="str">
        <x:v>CLOSE_QUARTERS_TOWAGE</x:v>
      </x:c>
      <x:c r="F14" s="10" t="str">
        <x:v>REVIEW_REQUIRED</x:v>
      </x:c>
      <x:c r="G14" s="10" t="str">
        <x:v>Job/Towage Plan</x:v>
      </x:c>
      <x:c r="H14" s="10" t="str"/>
    </x:row>
    <x:row r="15">
      <x:c r="A15" s="10" t="str">
        <x:v>operation.serviceContext</x:v>
      </x:c>
      <x:c r="B15" s="10" t="str">
        <x:v>Operation</x:v>
      </x:c>
      <x:c r="C15" s="10" t="str">
        <x:v>Enum</x:v>
      </x:c>
      <x:c r="D15" s="10" t="str">
        <x:v>Conditional</x:v>
      </x:c>
      <x:c r="E15" s="10" t="str">
        <x:v>AUTHORIZED_TUG_SERVICE</x:v>
      </x:c>
      <x:c r="F15" s="10" t="str">
        <x:v>REVIEW_REQUIRED for TR tug service overlay</x:v>
      </x:c>
      <x:c r="G15" s="10" t="str">
        <x:v>Shore Ops</x:v>
      </x:c>
      <x:c r="H15" s="10" t="str"/>
    </x:row>
    <x:row r="16">
      <x:c r="A16" s="10" t="str">
        <x:v>cargo.packagedDangerousGoods</x:v>
      </x:c>
      <x:c r="B16" s="10" t="str">
        <x:v>Cargo</x:v>
      </x:c>
      <x:c r="C16" s="10" t="str">
        <x:v>Boolean</x:v>
      </x:c>
      <x:c r="D16" s="10" t="str">
        <x:v>Conditional</x:v>
      </x:c>
      <x:c r="E16" s="10" t="str">
        <x:v>False</x:v>
      </x:c>
      <x:c r="F16" s="10" t="str">
        <x:v>FALSE if positively known false; UNKNOWN otherwise</x:v>
      </x:c>
      <x:c r="G16" s="10" t="str">
        <x:v>Cargo plan</x:v>
      </x:c>
      <x:c r="H16" s="10" t="str"/>
    </x:row>
    <x:row r="17">
      <x:c r="A17" s="10" t="str">
        <x:v>cargo.type</x:v>
      </x:c>
      <x:c r="B17" s="10" t="str">
        <x:v>Cargo</x:v>
      </x:c>
      <x:c r="C17" s="10" t="str">
        <x:v>Enum</x:v>
      </x:c>
      <x:c r="D17" s="10" t="str">
        <x:v>Conditional</x:v>
      </x:c>
      <x:c r="E17" s="10" t="str">
        <x:v>NLS</x:v>
      </x:c>
      <x:c r="F17" s="10" t="str">
        <x:v>REVIEW_REQUIRED</x:v>
      </x:c>
      <x:c r="G17" s="10" t="str">
        <x:v>Cargo plan</x:v>
      </x:c>
      <x:c r="H17" s="10" t="str"/>
    </x:row>
    <x:row r="18">
      <x:c r="A18" s="10" t="str">
        <x:v>equipment.towingWinchFitted</x:v>
      </x:c>
      <x:c r="B18" s="10" t="str">
        <x:v>Equipment</x:v>
      </x:c>
      <x:c r="C18" s="10" t="str">
        <x:v>Boolean</x:v>
      </x:c>
      <x:c r="D18" s="10" t="str">
        <x:v>Conditional</x:v>
      </x:c>
      <x:c r="E18" s="10" t="str">
        <x:v>True</x:v>
      </x:c>
      <x:c r="F18" s="10" t="str">
        <x:v>REVIEW_REQUIRED for winch rules</x:v>
      </x:c>
      <x:c r="G18" s="10" t="str">
        <x:v>Asset Register</x:v>
      </x:c>
      <x:c r="H18" s="10" t="str"/>
    </x:row>
    <x:row r="19">
      <x:c r="A19" s="10" t="str">
        <x:v>class.rulePack.IACS_M79</x:v>
      </x:c>
      <x:c r="B19" s="10" t="str">
        <x:v>Class</x:v>
      </x:c>
      <x:c r="C19" s="10" t="str">
        <x:v>Boolean</x:v>
      </x:c>
      <x:c r="D19" s="10" t="str">
        <x:v>Conditional</x:v>
      </x:c>
      <x:c r="E19" s="10" t="str">
        <x:v>True</x:v>
      </x:c>
      <x:c r="F19" s="10" t="str">
        <x:v>REVIEW_REQUIRED</x:v>
      </x:c>
      <x:c r="G19" s="10" t="str">
        <x:v>Class Rule Pack</x:v>
      </x:c>
      <x:c r="H19" s="10" t="str">
        <x:v>Do not infer from class name only</x:v>
      </x:c>
    </x:row>
    <x:row r="20">
      <x:c r="A20" s="10" t="str">
        <x:v>regulatory.ismApplicable</x:v>
      </x:c>
      <x:c r="B20" s="10" t="str">
        <x:v>Regulatory</x:v>
      </x:c>
      <x:c r="C20" s="10" t="str">
        <x:v>Boolean/Derived</x:v>
      </x:c>
      <x:c r="D20" s="10" t="str">
        <x:v>Conditional</x:v>
      </x:c>
      <x:c r="E20" s="10" t="str">
        <x:v>True</x:v>
      </x:c>
      <x:c r="F20" s="10" t="str">
        <x:v>REVIEW_REQUIRED</x:v>
      </x:c>
      <x:c r="G20" s="10" t="str">
        <x:v>Applicability Engine upstream</x:v>
      </x:c>
      <x:c r="H20" s="10" t="str"/>
    </x:row>
    <x:row r="21">
      <x:c r="A21" s="10" t="str">
        <x:v>regulatory.msmdVerified</x:v>
      </x:c>
      <x:c r="B21" s="10" t="str">
        <x:v>Crew</x:v>
      </x:c>
      <x:c r="C21" s="10" t="str">
        <x:v>Boolean</x:v>
      </x:c>
      <x:c r="D21" s="10" t="str">
        <x:v>Conditional</x:v>
      </x:c>
      <x:c r="E21" s="10" t="str">
        <x:v>True</x:v>
      </x:c>
      <x:c r="F21" s="10" t="str">
        <x:v>REVIEW_REQUIRED / readiness degrade</x:v>
      </x:c>
      <x:c r="G21" s="10" t="str">
        <x:v>Crew Compliance</x:v>
      </x:c>
      <x:c r="H21" s="10" t="str"/>
    </x:row>
    <x:row r="22">
      <x:c r="A22" s="10" t="str">
        <x:v>crew.requiredRoleEligible</x:v>
      </x:c>
      <x:c r="B22" s="10" t="str">
        <x:v>Crew</x:v>
      </x:c>
      <x:c r="C22" s="10" t="str">
        <x:v>Boolean/Derived</x:v>
      </x:c>
      <x:c r="D22" s="10" t="str">
        <x:v>Conditional</x:v>
      </x:c>
      <x:c r="E22" s="10" t="str">
        <x:v>True</x:v>
      </x:c>
      <x:c r="F22" s="10" t="str">
        <x:v>REVIEW_REQUIRED / NOT_READY depending gate</x:v>
      </x:c>
      <x:c r="G22" s="10" t="str">
        <x:v>Eligibility Engine</x:v>
      </x:c>
      <x:c r="H22" s="10" t="str"/>
    </x:row>
    <x:row r="23">
      <x:c r="A23" s="10" t="str">
        <x:v>evidence.sourceVerified</x:v>
      </x:c>
      <x:c r="B23" s="10" t="str">
        <x:v>Evidence</x:v>
      </x:c>
      <x:c r="C23" s="10" t="str">
        <x:v>Boolean</x:v>
      </x:c>
      <x:c r="D23" s="10" t="str">
        <x:v>Conditional</x:v>
      </x:c>
      <x:c r="E23" s="10" t="str">
        <x:v>True</x:v>
      </x:c>
      <x:c r="F23" s="10" t="str">
        <x:v>REVIEW_REQUIRED</x:v>
      </x:c>
      <x:c r="G23" s="10" t="str">
        <x:v>Evidence Graph</x:v>
      </x:c>
      <x:c r="H23" s="10" t="str"/>
    </x:row>
    <x:row r="24">
      <x:c r="A24" s="10" t="str">
        <x:v>source.lifecycle</x:v>
      </x:c>
      <x:c r="B24" s="10" t="str">
        <x:v>Regulatory</x:v>
      </x:c>
      <x:c r="C24" s="10" t="str">
        <x:v>Enum</x:v>
      </x:c>
      <x:c r="D24" s="10" t="str">
        <x:v>Yes</x:v>
      </x:c>
      <x:c r="E24" s="10" t="str">
        <x:v>IN_FORCE</x:v>
      </x:c>
      <x:c r="F24" s="10" t="str">
        <x:v>FUTURE/SUPERSEDED not current obligation</x:v>
      </x:c>
      <x:c r="G24" s="10" t="str">
        <x:v>Source Governance</x:v>
      </x:c>
      <x:c r="H24" s="10" t="str"/>
    </x:row>
  </x:sheetData>
  <x:pageMargins left="0.7" right="0.7" top="0.75" bottom="0.75" header="0.3" footer="0.3"/>
  <x:tableParts count="1">
    <x:tablePart xmlns:r="http://schemas.openxmlformats.org/officeDocument/2006/relationships" r:id="R0c00f706e9b24c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12" hidden="0" customWidth="1"/>
    <x:col min="5" max="5" width="20" hidden="0" customWidth="1"/>
    <x:col min="6" max="6" width="15" hidden="0" customWidth="1"/>
    <x:col min="7" max="7" width="82" hidden="0" customWidth="1"/>
    <x:col min="8" max="8" width="18" hidden="0" customWidth="1"/>
    <x:col min="9" max="9" width="65" hidden="0" customWidth="1"/>
    <x:col min="10" max="10" width="22" hidden="0" customWidth="1"/>
    <x:col min="11" max="11" width="10" hidden="0" customWidth="1"/>
    <x:col min="12" max="12" width="15" hidden="0" customWidth="1"/>
    <x:col min="13" max="13" width="30" hidden="0" customWidth="1"/>
  </x:cols>
  <x:sheetData>
    <x:row r="1">
      <x:c r="A1" s="16" t="str">
        <x:v>Rule ID</x:v>
      </x:c>
      <x:c r="B1" s="16" t="str">
        <x:v>Source</x:v>
      </x:c>
      <x:c r="C1" s="16" t="str">
        <x:v>Layer</x:v>
      </x:c>
      <x:c r="D1" s="16" t="str">
        <x:v>Mode</x:v>
      </x:c>
      <x:c r="E1" s="16" t="str">
        <x:v>Lifecycle</x:v>
      </x:c>
      <x:c r="F1" s="16" t="str">
        <x:v>Effective From</x:v>
      </x:c>
      <x:c r="G1" s="16" t="str">
        <x:v>Predicate Summary</x:v>
      </x:c>
      <x:c r="H1" s="16" t="str">
        <x:v>Positive Result</x:v>
      </x:c>
      <x:c r="I1" s="16" t="str">
        <x:v>Activates</x:v>
      </x:c>
      <x:c r="J1" s="16" t="str">
        <x:v>Unknown Policy</x:v>
      </x:c>
      <x:c r="K1" s="16" t="str">
        <x:v>Priority</x:v>
      </x:c>
      <x:c r="L1" s="16" t="str">
        <x:v>Human Review</x:v>
      </x:c>
      <x:c r="M1" s="16" t="str">
        <x:v>Test Trace</x:v>
      </x:c>
    </x:row>
    <x:row r="2">
      <x:c r="A2" s="10" t="str">
        <x:v>RULE-ISM-7-SHIP</x:v>
      </x:c>
      <x:c r="B2" s="10" t="str">
        <x:v>ISM §7</x:v>
      </x:c>
      <x:c r="C2" s="10" t="str">
        <x:v>INTERNATIONAL</x:v>
      </x:c>
      <x:c r="D2" s="10" t="str">
        <x:v>SHIP</x:v>
      </x:c>
      <x:c r="E2" s="10" t="str">
        <x:v>IN_FORCE</x:v>
      </x:c>
      <x:c r="F2" s="10" t="str">
        <x:v>1998-07-01</x:v>
      </x:c>
      <x:c r="G2" s="10" t="str">
        <x:v>mode=SHIP AND ismApplicable=TRUE</x:v>
      </x:c>
      <x:c r="H2" s="10" t="str">
        <x:v>APPLICABLE</x:v>
      </x:c>
      <x:c r="I2" s="10" t="str">
        <x:v>ship-operations; departure/voyage controls</x:v>
      </x:c>
      <x:c r="J2" s="10" t="str">
        <x:v>REVIEW_REQUIRED</x:v>
      </x:c>
      <x:c r="K2" s="10" t="n">
        <x:v>500</x:v>
      </x:c>
      <x:c r="L2" s="10" t="str">
        <x:v>No</x:v>
      </x:c>
      <x:c r="M2" s="10" t="str">
        <x:v>TC-REG-ISM-07-S</x:v>
      </x:c>
    </x:row>
    <x:row r="3">
      <x:c r="A3" s="10" t="str">
        <x:v>RULE-ISM-7-TUG</x:v>
      </x:c>
      <x:c r="B3" s="10" t="str">
        <x:v>ISM §7</x:v>
      </x:c>
      <x:c r="C3" s="10" t="str">
        <x:v>INTERNATIONAL</x:v>
      </x:c>
      <x:c r="D3" s="10" t="str">
        <x:v>TUG</x:v>
      </x:c>
      <x:c r="E3" s="10" t="str">
        <x:v>IN_FORCE</x:v>
      </x:c>
      <x:c r="F3" s="10" t="str">
        <x:v>1998-07-01</x:v>
      </x:c>
      <x:c r="G3" s="10" t="str">
        <x:v>mode=TUG AND ismApplicable=TRUE</x:v>
      </x:c>
      <x:c r="H3" s="10" t="str">
        <x:v>APPLICABLE</x:v>
      </x:c>
      <x:c r="I3" s="10" t="str">
        <x:v>tug-job-detail; towage-plan; risk-briefing; execution</x:v>
      </x:c>
      <x:c r="J3" s="10" t="str">
        <x:v>REVIEW_REQUIRED</x:v>
      </x:c>
      <x:c r="K3" s="10" t="n">
        <x:v>500</x:v>
      </x:c>
      <x:c r="L3" s="10" t="str">
        <x:v>No</x:v>
      </x:c>
      <x:c r="M3" s="10" t="str">
        <x:v>TC-REG-ISM-07-T</x:v>
      </x:c>
    </x:row>
    <x:row r="4">
      <x:c r="A4" s="10" t="str">
        <x:v>RULE-TR-TUG-MSMD</x:v>
      </x:c>
      <x:c r="B4" s="10" t="str">
        <x:v>TR manning</x:v>
      </x:c>
      <x:c r="C4" s="10" t="str">
        <x:v>FLAG</x:v>
      </x:c>
      <x:c r="D4" s="10" t="str">
        <x:v>TUG</x:v>
      </x:c>
      <x:c r="E4" s="10" t="str">
        <x:v>IN_FORCE</x:v>
      </x:c>
      <x:c r="F4" s="10" t="str">
        <x:v>2019-01-01</x:v>
      </x:c>
      <x:c r="G4" s="10" t="str">
        <x:v>mode=TUG AND flag=TR</x:v>
      </x:c>
      <x:c r="H4" s="10" t="str">
        <x:v>APPLICABLE</x:v>
      </x:c>
      <x:c r="I4" s="10" t="str">
        <x:v>tug-crew-readiness.minimum_manning_state</x:v>
      </x:c>
      <x:c r="J4" s="10" t="str">
        <x:v>REVIEW_REQUIRED</x:v>
      </x:c>
      <x:c r="K4" s="10" t="n">
        <x:v>800</x:v>
      </x:c>
      <x:c r="L4" s="10" t="str">
        <x:v>Yes</x:v>
      </x:c>
      <x:c r="M4" s="10" t="str">
        <x:v>TC-tug-crew-readiness-minimum_manning_state</x:v>
      </x:c>
    </x:row>
    <x:row r="5">
      <x:c r="A5" s="10" t="str">
        <x:v>RULE-TR-TUG-ESCORT-EXTRA</x:v>
      </x:c>
      <x:c r="B5" s="10" t="str">
        <x:v>TR manning note</x:v>
      </x:c>
      <x:c r="C5" s="10" t="str">
        <x:v>FLAG</x:v>
      </x:c>
      <x:c r="D5" s="10" t="str">
        <x:v>TUG</x:v>
      </x:c>
      <x:c r="E5" s="10" t="str">
        <x:v>IN_FORCE</x:v>
      </x:c>
      <x:c r="F5" s="10" t="str">
        <x:v>2019-01-01</x:v>
      </x:c>
      <x:c r="G5" s="10" t="str">
        <x:v>mode=TUG AND area IN {ISTANBUL_STRAIT,DARDANELLES} AND jobType=ESCORT</x:v>
      </x:c>
      <x:c r="H5" s="10" t="str">
        <x:v>APPLICABLE</x:v>
      </x:c>
      <x:c r="I5" s="10" t="str">
        <x:v>extra Able Seaman requirement</x:v>
      </x:c>
      <x:c r="J5" s="10" t="str">
        <x:v>REVIEW_REQUIRED</x:v>
      </x:c>
      <x:c r="K5" s="10" t="n">
        <x:v>820</x:v>
      </x:c>
      <x:c r="L5" s="10" t="str">
        <x:v>Yes</x:v>
      </x:c>
      <x:c r="M5" s="10" t="str">
        <x:v>TC-tug-escort-extra-able-seaman</x:v>
      </x:c>
    </x:row>
    <x:row r="6">
      <x:c r="A6" s="10" t="str">
        <x:v>RULE-TR-TUG-BP-CERT</x:v>
      </x:c>
      <x:c r="B6" s="10" t="str">
        <x:v>2025 Tug Regulation</x:v>
      </x:c>
      <x:c r="C6" s="10" t="str">
        <x:v>FLAG</x:v>
      </x:c>
      <x:c r="D6" s="10" t="str">
        <x:v>TUG</x:v>
      </x:c>
      <x:c r="E6" s="10" t="str">
        <x:v>IN_FORCE</x:v>
      </x:c>
      <x:c r="F6" s="10" t="str">
        <x:v>2025-02-11</x:v>
      </x:c>
      <x:c r="G6" s="10" t="str">
        <x:v>mode=TUG AND flag=TR AND serviceContext=AUTHORIZED_TUG_SERVICE</x:v>
      </x:c>
      <x:c r="H6" s="10" t="str">
        <x:v>APPLICABLE</x:v>
      </x:c>
      <x:c r="I6" s="10" t="str">
        <x:v>BP certificate + class/fire/insurance controls</x:v>
      </x:c>
      <x:c r="J6" s="10" t="str">
        <x:v>REVIEW_REQUIRED</x:v>
      </x:c>
      <x:c r="K6" s="10" t="n">
        <x:v>700</x:v>
      </x:c>
      <x:c r="L6" s="10" t="str">
        <x:v>Yes</x:v>
      </x:c>
      <x:c r="M6" s="10" t="str">
        <x:v>TC-tug-bp-certificate</x:v>
      </x:c>
    </x:row>
    <x:row r="7">
      <x:c r="A7" s="10" t="str">
        <x:v>RULE-IACS-M79</x:v>
      </x:c>
      <x:c r="B7" s="10" t="str">
        <x:v>IACS UR M79 Rev1</x:v>
      </x:c>
      <x:c r="C7" s="10" t="str">
        <x:v>CLASS_RO</x:v>
      </x:c>
      <x:c r="D7" s="10" t="str">
        <x:v>TUG</x:v>
      </x:c>
      <x:c r="E7" s="10" t="str">
        <x:v>IN_FORCE</x:v>
      </x:c>
      <x:c r="F7" s="10" t="str">
        <x:v>2021-07-01</x:v>
      </x:c>
      <x:c r="G7" s="10" t="str">
        <x:v>TUG + winch fitted + M79 pack + contractDate&gt;=2021-07-01 + not solely ocean/anchor handling</x:v>
      </x:c>
      <x:c r="H7" s="10" t="str">
        <x:v>APPLICABLE</x:v>
      </x:c>
      <x:c r="I7" s="10" t="str">
        <x:v>ERS fields/control/verification</x:v>
      </x:c>
      <x:c r="J7" s="10" t="str">
        <x:v>REVIEW_REQUIRED</x:v>
      </x:c>
      <x:c r="K7" s="10" t="n">
        <x:v>650</x:v>
      </x:c>
      <x:c r="L7" s="10" t="str">
        <x:v>Yes</x:v>
      </x:c>
      <x:c r="M7" s="10" t="str">
        <x:v>TC-tug-m79-applicability</x:v>
      </x:c>
    </x:row>
    <x:row r="8">
      <x:c r="A8" s="10" t="str">
        <x:v>RULE-IACS-Z18-ANNUAL</x:v>
      </x:c>
      <x:c r="B8" s="10" t="str">
        <x:v>IACS UR Z18 Rev9</x:v>
      </x:c>
      <x:c r="C8" s="10" t="str">
        <x:v>CLASS_RO</x:v>
      </x:c>
      <x:c r="D8" s="10" t="str">
        <x:v>TUG</x:v>
      </x:c>
      <x:c r="E8" s="10" t="str">
        <x:v>IN_FORCE</x:v>
      </x:c>
      <x:c r="F8" s="10" t="str">
        <x:v>2022-01-01</x:v>
      </x:c>
      <x:c r="G8" s="10" t="str">
        <x:v>M79 applicable AND annual survey due/applicable</x:v>
      </x:c>
      <x:c r="H8" s="10" t="str">
        <x:v>APPLICABLE</x:v>
      </x:c>
      <x:c r="I8" s="10" t="str">
        <x:v>annual ERS survey evidence</x:v>
      </x:c>
      <x:c r="J8" s="10" t="str">
        <x:v>REVIEW_REQUIRED</x:v>
      </x:c>
      <x:c r="K8" s="10" t="n">
        <x:v>640</x:v>
      </x:c>
      <x:c r="L8" s="10" t="str">
        <x:v>Yes</x:v>
      </x:c>
      <x:c r="M8" s="10" t="str">
        <x:v>TC-tug-ers-annual-survey</x:v>
      </x:c>
    </x:row>
    <x:row r="9">
      <x:c r="A9" s="10" t="str">
        <x:v>RULE-IACS-Z18-SPECIAL</x:v>
      </x:c>
      <x:c r="B9" s="10" t="str">
        <x:v>IACS UR Z18 Rev9</x:v>
      </x:c>
      <x:c r="C9" s="10" t="str">
        <x:v>CLASS_RO</x:v>
      </x:c>
      <x:c r="D9" s="10" t="str">
        <x:v>TUG</x:v>
      </x:c>
      <x:c r="E9" s="10" t="str">
        <x:v>IN_FORCE</x:v>
      </x:c>
      <x:c r="F9" s="10" t="str">
        <x:v>2022-01-01</x:v>
      </x:c>
      <x:c r="G9" s="10" t="str">
        <x:v>M79 applicable AND special survey due/applicable</x:v>
      </x:c>
      <x:c r="H9" s="10" t="str">
        <x:v>APPLICABLE</x:v>
      </x:c>
      <x:c r="I9" s="10" t="str">
        <x:v>special ERS load/function test evidence</x:v>
      </x:c>
      <x:c r="J9" s="10" t="str">
        <x:v>REVIEW_REQUIRED</x:v>
      </x:c>
      <x:c r="K9" s="10" t="n">
        <x:v>640</x:v>
      </x:c>
      <x:c r="L9" s="10" t="str">
        <x:v>Yes</x:v>
      </x:c>
      <x:c r="M9" s="10" t="str">
        <x:v>TC-tug-ers-special-survey</x:v>
      </x:c>
    </x:row>
    <x:row r="10">
      <x:c r="A10" s="10" t="str">
        <x:v>RULE-TUG-HARBOUR-FLOW</x:v>
      </x:c>
      <x:c r="B10" s="10" t="str">
        <x:v>POSEIDON</x:v>
      </x:c>
      <x:c r="C10" s="10" t="str">
        <x:v>PRODUCT_CONTROL</x:v>
      </x:c>
      <x:c r="D10" s="10" t="str">
        <x:v>TUG</x:v>
      </x:c>
      <x:c r="E10" s="10" t="str">
        <x:v>IN_FORCE</x:v>
      </x:c>
      <x:c r="F10" s="10" t="str">
        <x:v>2026-10-04</x:v>
      </x:c>
      <x:c r="G10" s="10" t="str">
        <x:v>jobType IN harbour/escort/berthing assist</x:v>
      </x:c>
      <x:c r="H10" s="10" t="str">
        <x:v>APPLICABLE</x:v>
      </x:c>
      <x:c r="I10" s="10" t="str">
        <x:v>job board; assignment; quick readiness; plan/briefing</x:v>
      </x:c>
      <x:c r="J10" s="10" t="str">
        <x:v>REVIEW_REQUIRED</x:v>
      </x:c>
      <x:c r="K10" s="10" t="n">
        <x:v>400</x:v>
      </x:c>
      <x:c r="L10" s="10" t="str">
        <x:v>No</x:v>
      </x:c>
      <x:c r="M10" s="10" t="str">
        <x:v>TC-TUG-HARBOUR-FLOW</x:v>
      </x:c>
    </x:row>
    <x:row r="11">
      <x:c r="A11" s="10" t="str">
        <x:v>RULE-TUG-OCEAN-FLOW</x:v>
      </x:c>
      <x:c r="B11" s="10" t="str">
        <x:v>Class/Company</x:v>
      </x:c>
      <x:c r="C11" s="10" t="str">
        <x:v>CLASS_RO</x:v>
      </x:c>
      <x:c r="D11" s="10" t="str">
        <x:v>TUG</x:v>
      </x:c>
      <x:c r="E11" s="10" t="str">
        <x:v>IN_FORCE</x:v>
      </x:c>
      <x:c r="F11" s="10" t="str">
        <x:v>2026-10-04</x:v>
      </x:c>
      <x:c r="G11" s="10" t="str">
        <x:v>jobType IN sea/ocean towage</x:v>
      </x:c>
      <x:c r="H11" s="10" t="str">
        <x:v>APPLICABLE</x:v>
      </x:c>
      <x:c r="I11" s="10" t="str">
        <x:v>ocean towage suitability/certification pack</x:v>
      </x:c>
      <x:c r="J11" s="10" t="str">
        <x:v>REVIEW_REQUIRED</x:v>
      </x:c>
      <x:c r="K11" s="10" t="n">
        <x:v>620</x:v>
      </x:c>
      <x:c r="L11" s="10" t="str">
        <x:v>Yes</x:v>
      </x:c>
      <x:c r="M11" s="10" t="str">
        <x:v>TC-TUG-OCEAN-FLOW</x:v>
      </x:c>
    </x:row>
    <x:row r="12">
      <x:c r="A12" s="10" t="str">
        <x:v>RULE-STCW-V-TANKER</x:v>
      </x:c>
      <x:c r="B12" s="10" t="str">
        <x:v>STCW Ch V</x:v>
      </x:c>
      <x:c r="C12" s="10" t="str">
        <x:v>INTERNATIONAL</x:v>
      </x:c>
      <x:c r="D12" s="10" t="str">
        <x:v>SHIP</x:v>
      </x:c>
      <x:c r="E12" s="10" t="str">
        <x:v>IN_FORCE</x:v>
      </x:c>
      <x:c r="F12" s="10" t="str">
        <x:v>2012-01-01</x:v>
      </x:c>
      <x:c r="G12" s="10" t="str">
        <x:v>vesselType IN oil/chemical/gas tanker</x:v>
      </x:c>
      <x:c r="H12" s="10" t="str">
        <x:v>APPLICABLE</x:v>
      </x:c>
      <x:c r="I12" s="10" t="str">
        <x:v>special training/endorsement controls</x:v>
      </x:c>
      <x:c r="J12" s="10" t="str">
        <x:v>REVIEW_REQUIRED</x:v>
      </x:c>
      <x:c r="K12" s="10" t="n">
        <x:v>600</x:v>
      </x:c>
      <x:c r="L12" s="10" t="str">
        <x:v>No</x:v>
      </x:c>
      <x:c r="M12" s="10" t="str">
        <x:v>TC-STCW-V</x:v>
      </x:c>
    </x:row>
    <x:row r="13">
      <x:c r="A13" s="10" t="str">
        <x:v>RULE-IMDG-42-24</x:v>
      </x:c>
      <x:c r="B13" s="10" t="str">
        <x:v>IMDG 42-24</x:v>
      </x:c>
      <x:c r="C13" s="10" t="str">
        <x:v>INTERNATIONAL</x:v>
      </x:c>
      <x:c r="D13" s="10" t="str">
        <x:v>SHIP</x:v>
      </x:c>
      <x:c r="E13" s="10" t="str">
        <x:v>IN_FORCE</x:v>
      </x:c>
      <x:c r="F13" s="10" t="str">
        <x:v>2026-01-01</x:v>
      </x:c>
      <x:c r="G13" s="10" t="str">
        <x:v>packagedDangerousGoods=TRUE</x:v>
      </x:c>
      <x:c r="H13" s="10" t="str">
        <x:v>APPLICABLE</x:v>
      </x:c>
      <x:c r="I13" s="10" t="str">
        <x:v>IMDG control/evidence</x:v>
      </x:c>
      <x:c r="J13" s="10" t="str">
        <x:v>REVIEW_REQUIRED</x:v>
      </x:c>
      <x:c r="K13" s="10" t="n">
        <x:v>700</x:v>
      </x:c>
      <x:c r="L13" s="10" t="str">
        <x:v>No</x:v>
      </x:c>
      <x:c r="M13" s="10" t="str">
        <x:v>TC-REG-IMDG</x:v>
      </x:c>
    </x:row>
    <x:row r="14">
      <x:c r="A14" s="10" t="str">
        <x:v>RULE-MARPOL-II</x:v>
      </x:c>
      <x:c r="B14" s="10" t="str">
        <x:v>MARPOL Annex II</x:v>
      </x:c>
      <x:c r="C14" s="10" t="str">
        <x:v>INTERNATIONAL</x:v>
      </x:c>
      <x:c r="D14" s="10" t="str">
        <x:v>SHIP</x:v>
      </x:c>
      <x:c r="E14" s="10" t="str">
        <x:v>IN_FORCE</x:v>
      </x:c>
      <x:c r="F14" s="10" t="str">
        <x:v>1987-04-06</x:v>
      </x:c>
      <x:c r="G14" s="10" t="str">
        <x:v>chemical tanker AND NLS cargo/applicability</x:v>
      </x:c>
      <x:c r="H14" s="10" t="str">
        <x:v>APPLICABLE</x:v>
      </x:c>
      <x:c r="I14" s="10" t="str">
        <x:v>chemical tanker + NLS records</x:v>
      </x:c>
      <x:c r="J14" s="10" t="str">
        <x:v>REVIEW_REQUIRED</x:v>
      </x:c>
      <x:c r="K14" s="10" t="n">
        <x:v>700</x:v>
      </x:c>
      <x:c r="L14" s="10" t="str">
        <x:v>No</x:v>
      </x:c>
      <x:c r="M14" s="10" t="str">
        <x:v>TC-REG-MARPOL-II</x:v>
      </x:c>
    </x:row>
    <x:row r="15">
      <x:c r="A15" s="10" t="str">
        <x:v>RULE-IBC</x:v>
      </x:c>
      <x:c r="B15" s="10" t="str">
        <x:v>IBC Code</x:v>
      </x:c>
      <x:c r="C15" s="10" t="str">
        <x:v>INTERNATIONAL</x:v>
      </x:c>
      <x:c r="D15" s="10" t="str">
        <x:v>SHIP</x:v>
      </x:c>
      <x:c r="E15" s="10" t="str">
        <x:v>IN_FORCE</x:v>
      </x:c>
      <x:c r="F15" s="10" t="str">
        <x:v>1986-07-01</x:v>
      </x:c>
      <x:c r="G15" s="10" t="str">
        <x:v>chemical tanker + IBC applicability</x:v>
      </x:c>
      <x:c r="H15" s="10" t="str">
        <x:v>APPLICABLE</x:v>
      </x:c>
      <x:c r="I15" s="10" t="str">
        <x:v>IBC cargo/tank controls</x:v>
      </x:c>
      <x:c r="J15" s="10" t="str">
        <x:v>REVIEW_REQUIRED</x:v>
      </x:c>
      <x:c r="K15" s="10" t="n">
        <x:v>700</x:v>
      </x:c>
      <x:c r="L15" s="10" t="str">
        <x:v>Yes</x:v>
      </x:c>
      <x:c r="M15" s="10" t="str">
        <x:v>TC-REG-IBC</x:v>
      </x:c>
    </x:row>
    <x:row r="16">
      <x:c r="A16" s="10" t="str">
        <x:v>RULE-IGC</x:v>
      </x:c>
      <x:c r="B16" s="10" t="str">
        <x:v>IGC Code</x:v>
      </x:c>
      <x:c r="C16" s="10" t="str">
        <x:v>INTERNATIONAL</x:v>
      </x:c>
      <x:c r="D16" s="10" t="str">
        <x:v>SHIP</x:v>
      </x:c>
      <x:c r="E16" s="10" t="str">
        <x:v>IN_FORCE</x:v>
      </x:c>
      <x:c r="F16" s="10" t="str">
        <x:v>1986-07-01</x:v>
      </x:c>
      <x:c r="G16" s="10" t="str">
        <x:v>gas carrier + IGC applicability</x:v>
      </x:c>
      <x:c r="H16" s="10" t="str">
        <x:v>APPLICABLE</x:v>
      </x:c>
      <x:c r="I16" s="10" t="str">
        <x:v>IGC cargo/equipment controls</x:v>
      </x:c>
      <x:c r="J16" s="10" t="str">
        <x:v>REVIEW_REQUIRED</x:v>
      </x:c>
      <x:c r="K16" s="10" t="n">
        <x:v>700</x:v>
      </x:c>
      <x:c r="L16" s="10" t="str">
        <x:v>Yes</x:v>
      </x:c>
      <x:c r="M16" s="10" t="str">
        <x:v>TC-REG-IGC</x:v>
      </x:c>
    </x:row>
    <x:row r="17">
      <x:c r="A17" s="10" t="str">
        <x:v>RULE-BWM</x:v>
      </x:c>
      <x:c r="B17" s="10" t="str">
        <x:v>BWM Convention</x:v>
      </x:c>
      <x:c r="C17" s="10" t="str">
        <x:v>INTERNATIONAL</x:v>
      </x:c>
      <x:c r="D17" s="10" t="str">
        <x:v>SHIP</x:v>
      </x:c>
      <x:c r="E17" s="10" t="str">
        <x:v>IN_FORCE</x:v>
      </x:c>
      <x:c r="F17" s="10" t="str">
        <x:v>2017-09-08</x:v>
      </x:c>
      <x:c r="G17" s="10" t="str">
        <x:v>BWM applicability based on ship/equipment/date</x:v>
      </x:c>
      <x:c r="H17" s="10" t="str">
        <x:v>APPLICABLE</x:v>
      </x:c>
      <x:c r="I17" s="10" t="str">
        <x:v>BWMP/records/certificate/treatment</x:v>
      </x:c>
      <x:c r="J17" s="10" t="str">
        <x:v>REVIEW_REQUIRED</x:v>
      </x:c>
      <x:c r="K17" s="10" t="n">
        <x:v>650</x:v>
      </x:c>
      <x:c r="L17" s="10" t="str">
        <x:v>Yes</x:v>
      </x:c>
      <x:c r="M17" s="10" t="str">
        <x:v>TC-REG-BWM</x:v>
      </x:c>
    </x:row>
    <x:row r="18">
      <x:c r="A18" s="10" t="str">
        <x:v>RULE-ISPS</x:v>
      </x:c>
      <x:c r="B18" s="10" t="str">
        <x:v>SOLAS XI-2/ISPS</x:v>
      </x:c>
      <x:c r="C18" s="10" t="str">
        <x:v>INTERNATIONAL</x:v>
      </x:c>
      <x:c r="D18" s="10" t="str">
        <x:v>SHIP</x:v>
      </x:c>
      <x:c r="E18" s="10" t="str">
        <x:v>IN_FORCE</x:v>
      </x:c>
      <x:c r="F18" s="10" t="str">
        <x:v>2004-07-01</x:v>
      </x:c>
      <x:c r="G18" s="10" t="str">
        <x:v>ISPS applicability TRUE</x:v>
      </x:c>
      <x:c r="H18" s="10" t="str">
        <x:v>APPLICABLE</x:v>
      </x:c>
      <x:c r="I18" s="10" t="str">
        <x:v>security roles/drills/cert controls</x:v>
      </x:c>
      <x:c r="J18" s="10" t="str">
        <x:v>REVIEW_REQUIRED</x:v>
      </x:c>
      <x:c r="K18" s="10" t="n">
        <x:v>650</x:v>
      </x:c>
      <x:c r="L18" s="10" t="str">
        <x:v>Yes</x:v>
      </x:c>
      <x:c r="M18" s="10" t="str">
        <x:v>TC-REG-ISPS</x:v>
      </x:c>
    </x:row>
    <x:row r="19">
      <x:c r="A19" s="10" t="str">
        <x:v>RULE-CYBER</x:v>
      </x:c>
      <x:c r="B19" s="10" t="str">
        <x:v>IMO cyber guidance</x:v>
      </x:c>
      <x:c r="C19" s="10" t="str">
        <x:v>COMPANY_SMS</x:v>
      </x:c>
      <x:c r="D19" s="10" t="str">
        <x:v>BOTH</x:v>
      </x:c>
      <x:c r="E19" s="10" t="str">
        <x:v>IN_FORCE</x:v>
      </x:c>
      <x:c r="F19" s="10" t="str">
        <x:v>2025-04-04</x:v>
      </x:c>
      <x:c r="G19" s="10" t="str">
        <x:v>critical IT/OT assets or connectivity</x:v>
      </x:c>
      <x:c r="H19" s="10" t="str">
        <x:v>APPLICABLE</x:v>
      </x:c>
      <x:c r="I19" s="10" t="str">
        <x:v>cyber readiness/control/evidence</x:v>
      </x:c>
      <x:c r="J19" s="10" t="str">
        <x:v>REVIEW_REQUIRED</x:v>
      </x:c>
      <x:c r="K19" s="10" t="n">
        <x:v>450</x:v>
      </x:c>
      <x:c r="L19" s="10" t="str">
        <x:v>Yes</x:v>
      </x:c>
      <x:c r="M19" s="10" t="str">
        <x:v>TC-REG-CYBER</x:v>
      </x:c>
    </x:row>
    <x:row r="20">
      <x:c r="A20" s="10" t="str">
        <x:v>RULE-MLC-2022</x:v>
      </x:c>
      <x:c r="B20" s="10" t="str">
        <x:v>MLC 2022 amendments</x:v>
      </x:c>
      <x:c r="C20" s="10" t="str">
        <x:v>INTERNATIONAL</x:v>
      </x:c>
      <x:c r="D20" s="10" t="str">
        <x:v>BOTH</x:v>
      </x:c>
      <x:c r="E20" s="10" t="str">
        <x:v>IN_FORCE</x:v>
      </x:c>
      <x:c r="F20" s="10" t="str">
        <x:v>2024-12-23</x:v>
      </x:c>
      <x:c r="G20" s="10" t="str">
        <x:v>MLC applicability TRUE</x:v>
      </x:c>
      <x:c r="H20" s="10" t="str">
        <x:v>APPLICABLE</x:v>
      </x:c>
      <x:c r="I20" s="10" t="str">
        <x:v>current MLC controls</x:v>
      </x:c>
      <x:c r="J20" s="10" t="str">
        <x:v>REVIEW_REQUIRED</x:v>
      </x:c>
      <x:c r="K20" s="10" t="n">
        <x:v>600</x:v>
      </x:c>
      <x:c r="L20" s="10" t="str">
        <x:v>Yes</x:v>
      </x:c>
      <x:c r="M20" s="10" t="str">
        <x:v>TC-MLC-CURRENT</x:v>
      </x:c>
    </x:row>
    <x:row r="21">
      <x:c r="A21" s="10" t="str">
        <x:v>RULE-MLC-2025-FUTURE</x:v>
      </x:c>
      <x:c r="B21" s="10" t="str">
        <x:v>MLC 2025 amendments</x:v>
      </x:c>
      <x:c r="C21" s="10" t="str">
        <x:v>INTERNATIONAL</x:v>
      </x:c>
      <x:c r="D21" s="10" t="str">
        <x:v>BOTH</x:v>
      </x:c>
      <x:c r="E21" s="10" t="str">
        <x:v>FUTURE_EFFECTIVE</x:v>
      </x:c>
      <x:c r="F21" s="10" t="str">
        <x:v>2027-12-23</x:v>
      </x:c>
      <x:c r="G21" s="10" t="str">
        <x:v>evaluationDate&gt;=2027-12-23 AND MLC applicable</x:v>
      </x:c>
      <x:c r="H21" s="10" t="str">
        <x:v>APPLICABLE</x:v>
      </x:c>
      <x:c r="I21" s="10" t="str">
        <x:v>future MLC controls</x:v>
      </x:c>
      <x:c r="J21" s="10" t="str">
        <x:v>REVIEW_REQUIRED</x:v>
      </x:c>
      <x:c r="K21" s="10" t="n">
        <x:v>600</x:v>
      </x:c>
      <x:c r="L21" s="10" t="str">
        <x:v>Yes</x:v>
      </x:c>
      <x:c r="M21" s="10" t="str">
        <x:v>TC-MLC-2025-FUTURE</x:v>
      </x:c>
    </x:row>
  </x:sheetData>
  <x:pageMargins left="0.7" right="0.7" top="0.75" bottom="0.75" header="0.3" footer="0.3"/>
  <x:tableParts count="1">
    <x:tablePart xmlns:r="http://schemas.openxmlformats.org/officeDocument/2006/relationships" r:id="R038afd8bb4dd45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  <x:col min="3" max="3" width="65" hidden="0" customWidth="1"/>
  </x:cols>
  <x:sheetData>
    <x:row r="1">
      <x:c r="A1" s="16" t="str">
        <x:v>Case</x:v>
      </x:c>
      <x:c r="B1" s="16" t="str">
        <x:v>Engine behavior</x:v>
      </x:c>
      <x:c r="C1" s="16" t="str">
        <x:v>Why</x:v>
      </x:c>
    </x:row>
    <x:row r="2">
      <x:c r="A2" s="10" t="str">
        <x:v>More than one applicable rule</x:v>
      </x:c>
      <x:c r="B2" s="10" t="str">
        <x:v>Keep all obligations active; merge activation sets; do not choose one by numeric priority.</x:v>
      </x:c>
      <x:c r="C2" s="10" t="str">
        <x:v>Legal/class/company obligations may coexist.</x:v>
      </x:c>
    </x:row>
    <x:row r="3">
      <x:c r="A3" s="10" t="str">
        <x:v>Source contradiction</x:v>
      </x:c>
      <x:c r="B3" s="10" t="str">
        <x:v>Result REVIEW_REQUIRED + ConflictRecord; route to source owner/reviewer.</x:v>
      </x:c>
      <x:c r="C3" s="10" t="str">
        <x:v>Engine is not a legal-precedence oracle.</x:v>
      </x:c>
    </x:row>
    <x:row r="4">
      <x:c r="A4" s="10" t="str">
        <x:v>Critical input UNKNOWN</x:v>
      </x:c>
      <x:c r="B4" s="10" t="str">
        <x:v>REVIEW_REQUIRED; readiness cannot be silently GREEN.</x:v>
      </x:c>
      <x:c r="C4" s="10" t="str">
        <x:v>Three-valued logic prevents false positive.</x:v>
      </x:c>
    </x:row>
    <x:row r="5">
      <x:c r="A5" s="10" t="str">
        <x:v>Future-effective source before date</x:v>
      </x:c>
      <x:c r="B5" s="10" t="str">
        <x:v>Do not affect current compliance; expose in Change Radar / Sandbox.</x:v>
      </x:c>
      <x:c r="C5" s="10" t="str">
        <x:v>Current and future state stay separate.</x:v>
      </x:c>
    </x:row>
    <x:row r="6">
      <x:c r="A6" s="10" t="str">
        <x:v>Superseded source</x:v>
      </x:c>
      <x:c r="B6" s="10" t="str">
        <x:v>Do not activate new current obligation; preserve historical evaluation reproducibility.</x:v>
      </x:c>
      <x:c r="C6" s="10" t="str">
        <x:v>Audit/history.</x:v>
      </x:c>
    </x:row>
    <x:row r="7">
      <x:c r="A7" s="10" t="str">
        <x:v>Company SMS stricter than external minimum</x:v>
      </x:c>
      <x:c r="B7" s="10" t="str">
        <x:v>Keep company control if valid/published; label source layer.</x:v>
      </x:c>
      <x:c r="C7" s="10" t="str">
        <x:v>Internal rule is not rewritten as law.</x:v>
      </x:c>
    </x:row>
    <x:row r="8">
      <x:c r="A8" s="10" t="str">
        <x:v>Class-specific rule but class pack unknown</x:v>
      </x:c>
      <x:c r="B8" s="10" t="str">
        <x:v>REVIEW_REQUIRED.</x:v>
      </x:c>
      <x:c r="C8" s="10" t="str">
        <x:v>One class society's rule cannot be universalized.</x:v>
      </x:c>
    </x:row>
    <x:row r="9">
      <x:c r="A9" s="10" t="str">
        <x:v>Human override</x:v>
      </x:c>
      <x:c r="B9" s="10" t="str">
        <x:v>Allowed only if configured role + reason + evidence + expiry/review; never changes source text.</x:v>
      </x:c>
      <x:c r="C9" s="10" t="str">
        <x:v>Controlled decision, not rule deletion.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0" hidden="0" customWidth="1"/>
    <x:col min="4" max="4" width="70" hidden="0" customWidth="1"/>
    <x:col min="5" max="5" width="45" hidden="0" customWidth="1"/>
  </x:cols>
  <x:sheetData>
    <x:row r="1">
      <x:c r="A1" s="16" t="str">
        <x:v>Result Type</x:v>
      </x:c>
      <x:c r="B1" s="16" t="str">
        <x:v>ID / Pattern</x:v>
      </x:c>
      <x:c r="C1" s="16" t="str">
        <x:v>When activated</x:v>
      </x:c>
      <x:c r="D1" s="16" t="str">
        <x:v>Downstream effect</x:v>
      </x:c>
      <x:c r="E1" s="16" t="str">
        <x:v>Audit requirement</x:v>
      </x:c>
    </x:row>
    <x:row r="2">
      <x:c r="A2" s="10" t="str">
        <x:v>REQUIREMENT</x:v>
      </x:c>
      <x:c r="B2" s="10" t="str">
        <x:v>REQ-*</x:v>
      </x:c>
      <x:c r="C2" s="10" t="str">
        <x:v>Rule result APPLICABLE</x:v>
      </x:c>
      <x:c r="D2" s="10" t="str">
        <x:v>Requirement becomes applicable for evaluation context</x:v>
      </x:c>
      <x:c r="E2" s="10" t="str">
        <x:v>Rule/source/version/reason</x:v>
      </x:c>
    </x:row>
    <x:row r="3">
      <x:c r="A3" s="10" t="str">
        <x:v>CONTROL</x:v>
      </x:c>
      <x:c r="B3" s="10" t="str">
        <x:v>CTRL-*</x:v>
      </x:c>
      <x:c r="C3" s="10" t="str">
        <x:v>Applicable requirement maps to operational control</x:v>
      </x:c>
      <x:c r="D3" s="10" t="str">
        <x:v>Control owner/frequency/evidence rule activates</x:v>
      </x:c>
      <x:c r="E3" s="10" t="str">
        <x:v>Control version + owner</x:v>
      </x:c>
    </x:row>
    <x:row r="4">
      <x:c r="A4" s="10" t="str">
        <x:v>SCREEN</x:v>
      </x:c>
      <x:c r="B4" s="10" t="str">
        <x:v>screen-id</x:v>
      </x:c>
      <x:c r="C4" s="10" t="str">
        <x:v>Mode/context/role + rule activation</x:v>
      </x:c>
      <x:c r="D4" s="10" t="str">
        <x:v>Navigation/context surface can appear</x:v>
      </x:c>
      <x:c r="E4" s="10" t="str">
        <x:v>No security implication by itself</x:v>
      </x:c>
    </x:row>
    <x:row r="5">
      <x:c r="A5" s="10" t="str">
        <x:v>FIELD</x:v>
      </x:c>
      <x:c r="B5" s="10" t="str">
        <x:v>screen.field</x:v>
      </x:c>
      <x:c r="C5" s="10" t="str">
        <x:v>Requirement/control needs data point</x:v>
      </x:c>
      <x:c r="D5" s="10" t="str">
        <x:v>Field becomes visible/mandatory/read-only based on state</x:v>
      </x:c>
      <x:c r="E5" s="10" t="str">
        <x:v>Rule ID + state</x:v>
      </x:c>
    </x:row>
    <x:row r="6">
      <x:c r="A6" s="10" t="str">
        <x:v>EVIDENCE_POLICY</x:v>
      </x:c>
      <x:c r="B6" s="10" t="str">
        <x:v>EVID-*</x:v>
      </x:c>
      <x:c r="C6" s="10" t="str">
        <x:v>Control requires proof</x:v>
      </x:c>
      <x:c r="D6" s="10" t="str">
        <x:v>Evidence type/freshness/provenance/quality rules activate</x:v>
      </x:c>
      <x:c r="E6" s="10" t="str">
        <x:v>Evidence policy version</x:v>
      </x:c>
    </x:row>
    <x:row r="7">
      <x:c r="A7" s="10" t="str">
        <x:v>VERIFICATION_GATE</x:v>
      </x:c>
      <x:c r="B7" s="10" t="str">
        <x:v>VERIFY-*</x:v>
      </x:c>
      <x:c r="C7" s="10" t="str">
        <x:v>Evidence or control requires human verification</x:v>
      </x:c>
      <x:c r="D7" s="10" t="str">
        <x:v>Cannot move to verified/ready without authorized verifier</x:v>
      </x:c>
      <x:c r="E7" s="10" t="str">
        <x:v>Verifier + result + time</x:v>
      </x:c>
    </x:row>
    <x:row r="8">
      <x:c r="A8" s="10" t="str">
        <x:v>TEST_CASE</x:v>
      </x:c>
      <x:c r="B8" s="10" t="str">
        <x:v>TC-*</x:v>
      </x:c>
      <x:c r="C8" s="10" t="str">
        <x:v>Rule is production-critical</x:v>
      </x:c>
      <x:c r="D8" s="10" t="str">
        <x:v>Regression case is required in rule pack</x:v>
      </x:c>
      <x:c r="E8" s="10" t="str">
        <x:v>Rule version + expected outcome</x:v>
      </x:c>
    </x:row>
    <x:row r="9">
      <x:c r="A9" s="10" t="str">
        <x:v>NOTIFICATION</x:v>
      </x:c>
      <x:c r="B9" s="10" t="str">
        <x:v>NOTIFY-*</x:v>
      </x:c>
      <x:c r="C9" s="10" t="str">
        <x:v>Due/critical/review condition</x:v>
      </x:c>
      <x:c r="D9" s="10" t="str">
        <x:v>Role-aware alert/escalation</x:v>
      </x:c>
      <x:c r="E9" s="10" t="str">
        <x:v>Delivery/acknowledgement audit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44" hidden="0" customWidth="1"/>
    <x:col min="4" max="4" width="66" hidden="0" customWidth="1"/>
    <x:col min="5" max="5" width="66" hidden="0" customWidth="1"/>
    <x:col min="6" max="6" width="48" hidden="0" customWidth="1"/>
  </x:cols>
  <x:sheetData>
    <x:row r="1">
      <x:c r="A1" s="16" t="str">
        <x:v>Method</x:v>
      </x:c>
      <x:c r="B1" s="16" t="str">
        <x:v>Endpoint</x:v>
      </x:c>
      <x:c r="C1" s="16" t="str">
        <x:v>Purpose</x:v>
      </x:c>
      <x:c r="D1" s="16" t="str">
        <x:v>Key request</x:v>
      </x:c>
      <x:c r="E1" s="16" t="str">
        <x:v>Key response</x:v>
      </x:c>
      <x:c r="F1" s="16" t="str">
        <x:v>Authority / Audit</x:v>
      </x:c>
    </x:row>
    <x:row r="2">
      <x:c r="A2" s="10" t="str">
        <x:v>POST</x:v>
      </x:c>
      <x:c r="B2" s="10" t="str">
        <x:v>/api/v1/applicability/evaluate</x:v>
      </x:c>
      <x:c r="C2" s="10" t="str">
        <x:v>Evaluate one context</x:v>
      </x:c>
      <x:c r="D2" s="10" t="str">
        <x:v>evaluationDate, context, vessel, operation, cargo, equipment, crew</x:v>
      </x:c>
      <x:c r="E2" s="10" t="str">
        <x:v>evaluationId, results[], activated[], humanReview</x:v>
      </x:c>
      <x:c r="F2" s="10" t="str">
        <x:v>Read/evaluate permission; evaluation trace</x:v>
      </x:c>
    </x:row>
    <x:row r="3">
      <x:c r="A3" s="10" t="str">
        <x:v>POST</x:v>
      </x:c>
      <x:c r="B3" s="10" t="str">
        <x:v>/api/v1/applicability/simulate</x:v>
      </x:c>
      <x:c r="C3" s="10" t="str">
        <x:v>What-if without publishing state</x:v>
      </x:c>
      <x:c r="D3" s="10" t="str">
        <x:v>same + hypothetical changes</x:v>
      </x:c>
      <x:c r="E3" s="10" t="str">
        <x:v>diff current vs simulated</x:v>
      </x:c>
      <x:c r="F3" s="10" t="str">
        <x:v>Regulatory/admin/power user; no state mutation</x:v>
      </x:c>
    </x:row>
    <x:row r="4">
      <x:c r="A4" s="10" t="str">
        <x:v>GET</x:v>
      </x:c>
      <x:c r="B4" s="10" t="str">
        <x:v>/api/v1/applicability/evaluations/{id}</x:v>
      </x:c>
      <x:c r="C4" s="10" t="str">
        <x:v>Explain historical evaluation</x:v>
      </x:c>
      <x:c r="D4" s="10" t="str">
        <x:v>evaluationId</x:v>
      </x:c>
      <x:c r="E4" s="10" t="str">
        <x:v>ruleSetVersion, input snapshot, result tree</x:v>
      </x:c>
      <x:c r="F4" s="10" t="str">
        <x:v>Scoped read</x:v>
      </x:c>
    </x:row>
    <x:row r="5">
      <x:c r="A5" s="10" t="str">
        <x:v>POST</x:v>
      </x:c>
      <x:c r="B5" s="10" t="str">
        <x:v>/api/v1/applicability/explain</x:v>
      </x:c>
      <x:c r="C5" s="10" t="str">
        <x:v>Explain one result/state</x:v>
      </x:c>
      <x:c r="D5" s="10" t="str">
        <x:v>context + target rule/state</x:v>
      </x:c>
      <x:c r="E5" s="10" t="str">
        <x:v>reason tree + source + missing inputs</x:v>
      </x:c>
      <x:c r="F5" s="10" t="str">
        <x:v>Scoped read</x:v>
      </x:c>
    </x:row>
    <x:row r="6">
      <x:c r="A6" s="10" t="str">
        <x:v>POST</x:v>
      </x:c>
      <x:c r="B6" s="10" t="str">
        <x:v>/api/v1/applicability/diff</x:v>
      </x:c>
      <x:c r="C6" s="10" t="str">
        <x:v>Compare rule sets/dates</x:v>
      </x:c>
      <x:c r="D6" s="10" t="str">
        <x:v>context + version/date A/B</x:v>
      </x:c>
      <x:c r="E6" s="10" t="str">
        <x:v>activated/deactivated/changed requirements</x:v>
      </x:c>
      <x:c r="F6" s="10" t="str">
        <x:v>Regulatory reviewer</x:v>
      </x:c>
    </x:row>
    <x:row r="7">
      <x:c r="A7" s="10" t="str">
        <x:v>POST</x:v>
      </x:c>
      <x:c r="B7" s="10" t="str">
        <x:v>/api/v1/rules/validate</x:v>
      </x:c>
      <x:c r="C7" s="10" t="str">
        <x:v>Validate draft rule DSL</x:v>
      </x:c>
      <x:c r="D7" s="10" t="str">
        <x:v>rule JSON</x:v>
      </x:c>
      <x:c r="E7" s="10" t="str">
        <x:v>schema/semantic/test validation</x:v>
      </x:c>
      <x:c r="F7" s="10" t="str">
        <x:v>Regulatory admin; audit</x:v>
      </x:c>
    </x:row>
    <x:row r="8">
      <x:c r="A8" s="10" t="str">
        <x:v>POST</x:v>
      </x:c>
      <x:c r="B8" s="10" t="str">
        <x:v>/api/v1/rules/publish</x:v>
      </x:c>
      <x:c r="C8" s="10" t="str">
        <x:v>Publish approved rule version</x:v>
      </x:c>
      <x:c r="D8" s="10" t="str">
        <x:v>ruleVersion + approvals</x:v>
      </x:c>
      <x:c r="E8" s="10" t="str">
        <x:v>published version/effective state</x:v>
      </x:c>
      <x:c r="F8" s="10" t="str">
        <x:v>Separation-of-duties + immutable audit</x:v>
      </x:c>
    </x:row>
    <x:row r="9">
      <x:c r="A9" s="10" t="str">
        <x:v>GET</x:v>
      </x:c>
      <x:c r="B9" s="10" t="str">
        <x:v>/api/v1/rules/{id}/versions</x:v>
      </x:c>
      <x:c r="C9" s="10" t="str">
        <x:v>Rule history</x:v>
      </x:c>
      <x:c r="D9" s="10" t="str">
        <x:v>ruleId</x:v>
      </x:c>
      <x:c r="E9" s="10" t="str">
        <x:v>versions/source/effective dates</x:v>
      </x:c>
      <x:c r="F9" s="10" t="str">
        <x:v>Scoped read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22" hidden="0" customWidth="1"/>
    <x:col min="5" max="5" width="10" hidden="0" customWidth="1"/>
    <x:col min="6" max="6" width="10" hidden="0" customWidth="1"/>
    <x:col min="7" max="7" width="25" hidden="0" customWidth="1"/>
    <x:col min="8" max="8" width="25" hidden="0" customWidth="1"/>
    <x:col min="9" max="9" width="18" hidden="0" customWidth="1"/>
    <x:col min="10" max="10" width="55" hidden="0" customWidth="1"/>
    <x:col min="11" max="11" width="65" hidden="0" customWidth="1"/>
  </x:cols>
  <x:sheetData>
    <x:row r="1">
      <x:c r="A1" s="16" t="str">
        <x:v>Profile ID</x:v>
      </x:c>
      <x:c r="B1" s="16" t="str">
        <x:v>Mode</x:v>
      </x:c>
      <x:c r="C1" s="16" t="str">
        <x:v>Flag</x:v>
      </x:c>
      <x:c r="D1" s="16" t="str">
        <x:v>Type</x:v>
      </x:c>
      <x:c r="E1" s="16" t="str">
        <x:v>GT</x:v>
      </x:c>
      <x:c r="F1" s="16" t="str">
        <x:v>kW</x:v>
      </x:c>
      <x:c r="G1" s="16" t="str">
        <x:v>Area/Trade</x:v>
      </x:c>
      <x:c r="H1" s="16" t="str">
        <x:v>Job/Cargo</x:v>
      </x:c>
      <x:c r="I1" s="16" t="str">
        <x:v>Class/M79</x:v>
      </x:c>
      <x:c r="J1" s="16" t="str">
        <x:v>Special facts</x:v>
      </x:c>
      <x:c r="K1" s="16" t="str">
        <x:v>Expected packs</x:v>
      </x:c>
    </x:row>
    <x:row r="2">
      <x:c r="A2" s="10" t="str">
        <x:v>GP-SHIP-OIL-TR</x:v>
      </x:c>
      <x:c r="B2" s="10" t="str">
        <x:v>SHIP</x:v>
      </x:c>
      <x:c r="C2" s="10" t="str">
        <x:v>TR</x:v>
      </x:c>
      <x:c r="D2" s="10" t="str">
        <x:v>OIL_TANKER</x:v>
      </x:c>
      <x:c r="E2" s="10" t="n">
        <x:v>32000</x:v>
      </x:c>
      <x:c r="F2" s="10" t="n">
        <x:v>12000</x:v>
      </x:c>
      <x:c r="G2" s="10" t="str">
        <x:v>International</x:v>
      </x:c>
      <x:c r="H2" s="10" t="str">
        <x:v>Oil cargo</x:v>
      </x:c>
      <x:c r="I2" s="10" t="str">
        <x:v>N/A</x:v>
      </x:c>
      <x:c r="J2" s="10" t="str">
        <x:v>STCW special training; MARPOL I</x:v>
      </x:c>
      <x:c r="K2" s="10" t="str">
        <x:v>ISM; SOLAS; STCW; MARPOL; MLC; Tanker</x:v>
      </x:c>
    </x:row>
    <x:row r="3">
      <x:c r="A3" s="10" t="str">
        <x:v>GP-SHIP-CHEM</x:v>
      </x:c>
      <x:c r="B3" s="10" t="str">
        <x:v>SHIP</x:v>
      </x:c>
      <x:c r="C3" s="10" t="str">
        <x:v>TR</x:v>
      </x:c>
      <x:c r="D3" s="10" t="str">
        <x:v>CHEMICAL_TANKER</x:v>
      </x:c>
      <x:c r="E3" s="10" t="n">
        <x:v>18000</x:v>
      </x:c>
      <x:c r="F3" s="10" t="n">
        <x:v>9000</x:v>
      </x:c>
      <x:c r="G3" s="10" t="str">
        <x:v>International</x:v>
      </x:c>
      <x:c r="H3" s="10" t="str">
        <x:v>NLS</x:v>
      </x:c>
      <x:c r="I3" s="10" t="str">
        <x:v>N/A</x:v>
      </x:c>
      <x:c r="J3" s="10" t="str">
        <x:v>IBC + MARPOL II</x:v>
      </x:c>
      <x:c r="K3" s="10" t="str">
        <x:v>ISM; SOLAS; STCW V; MARPOL II; IBC; MLC</x:v>
      </x:c>
    </x:row>
    <x:row r="4">
      <x:c r="A4" s="10" t="str">
        <x:v>GP-SHIP-DG</x:v>
      </x:c>
      <x:c r="B4" s="10" t="str">
        <x:v>SHIP</x:v>
      </x:c>
      <x:c r="C4" s="10" t="str">
        <x:v>TR</x:v>
      </x:c>
      <x:c r="D4" s="10" t="str">
        <x:v>CONTAINER</x:v>
      </x:c>
      <x:c r="E4" s="10" t="n">
        <x:v>25000</x:v>
      </x:c>
      <x:c r="F4" s="10" t="n">
        <x:v>11000</x:v>
      </x:c>
      <x:c r="G4" s="10" t="str">
        <x:v>International</x:v>
      </x:c>
      <x:c r="H4" s="10" t="str">
        <x:v>Packaged DG</x:v>
      </x:c>
      <x:c r="I4" s="10" t="str">
        <x:v>N/A</x:v>
      </x:c>
      <x:c r="J4" s="10" t="str">
        <x:v>IMDG 42-24</x:v>
      </x:c>
      <x:c r="K4" s="10" t="str">
        <x:v>SOLAS VII; IMDG; other common ship packs</x:v>
      </x:c>
    </x:row>
    <x:row r="5">
      <x:c r="A5" s="10" t="str">
        <x:v>GP-TUG-HARBOUR</x:v>
      </x:c>
      <x:c r="B5" s="10" t="str">
        <x:v>TUG</x:v>
      </x:c>
      <x:c r="C5" s="10" t="str">
        <x:v>TR</x:v>
      </x:c>
      <x:c r="D5" s="10" t="str">
        <x:v>ASD_TUG</x:v>
      </x:c>
      <x:c r="E5" s="10" t="n">
        <x:v>420</x:v>
      </x:c>
      <x:c r="F5" s="10" t="n">
        <x:v>3600</x:v>
      </x:c>
      <x:c r="G5" s="10" t="str">
        <x:v>Kocaeli</x:v>
      </x:c>
      <x:c r="H5" s="10" t="str">
        <x:v>HARBOUR_ASSIST</x:v>
      </x:c>
      <x:c r="I5" s="10" t="str">
        <x:v>Yes</x:v>
      </x:c>
      <x:c r="J5" s="10" t="str">
        <x:v>Contract date 2022; winch fitted; MSMD verified</x:v>
      </x:c>
      <x:c r="K5" s="10" t="str">
        <x:v>Tug common + TR service + M79 + BP + crew readiness</x:v>
      </x:c>
    </x:row>
    <x:row r="6">
      <x:c r="A6" s="10" t="str">
        <x:v>GP-TUG-ESCORT</x:v>
      </x:c>
      <x:c r="B6" s="10" t="str">
        <x:v>TUG</x:v>
      </x:c>
      <x:c r="C6" s="10" t="str">
        <x:v>TR</x:v>
      </x:c>
      <x:c r="D6" s="10" t="str">
        <x:v>ASD_TUG</x:v>
      </x:c>
      <x:c r="E6" s="10" t="n">
        <x:v>450</x:v>
      </x:c>
      <x:c r="F6" s="10" t="n">
        <x:v>4000</x:v>
      </x:c>
      <x:c r="G6" s="10" t="str">
        <x:v>İstanbul Boğazı</x:v>
      </x:c>
      <x:c r="H6" s="10" t="str">
        <x:v>ESCORT</x:v>
      </x:c>
      <x:c r="I6" s="10" t="str">
        <x:v>Yes</x:v>
      </x:c>
      <x:c r="J6" s="10" t="str">
        <x:v>Escort extra crew note under monitored source</x:v>
      </x:c>
      <x:c r="K6" s="10" t="str">
        <x:v>Tug common + escort crew overlay + M79 + BP</x:v>
      </x:c>
    </x:row>
    <x:row r="7">
      <x:c r="A7" s="10" t="str">
        <x:v>GP-TUG-OCEAN</x:v>
      </x:c>
      <x:c r="B7" s="10" t="str">
        <x:v>TUG</x:v>
      </x:c>
      <x:c r="C7" s="10" t="str">
        <x:v>TR</x:v>
      </x:c>
      <x:c r="D7" s="10" t="str">
        <x:v>OCEAN_TUG</x:v>
      </x:c>
      <x:c r="E7" s="10" t="n">
        <x:v>850</x:v>
      </x:c>
      <x:c r="F7" s="10" t="n">
        <x:v>5000</x:v>
      </x:c>
      <x:c r="G7" s="10" t="str">
        <x:v>Sea/Ocean</x:v>
      </x:c>
      <x:c r="H7" s="10" t="str">
        <x:v>OCEAN_TOWAGE</x:v>
      </x:c>
      <x:c r="I7" s="10" t="str">
        <x:v>Class-specific</x:v>
      </x:c>
      <x:c r="J7" s="10" t="str">
        <x:v>M79 not auto-applied solely for long-distance ocean towage</x:v>
      </x:c>
      <x:c r="K7" s="10" t="str">
        <x:v>Tug common + ocean towage class/suitability pack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60" hidden="0" customWidth="1"/>
    <x:col min="4" max="4" width="32" hidden="0" customWidth="1"/>
    <x:col min="5" max="5" width="28" hidden="0" customWidth="1"/>
    <x:col min="6" max="6" width="68" hidden="0" customWidth="1"/>
    <x:col min="7" max="7" width="10" hidden="0" customWidth="1"/>
  </x:cols>
  <x:sheetData>
    <x:row r="1">
      <x:c r="A1" s="16" t="str">
        <x:v>Test ID</x:v>
      </x:c>
      <x:c r="B1" s="16" t="str">
        <x:v>Profile</x:v>
      </x:c>
      <x:c r="C1" s="16" t="str">
        <x:v>Change / Condition</x:v>
      </x:c>
      <x:c r="D1" s="16" t="str">
        <x:v>Rule</x:v>
      </x:c>
      <x:c r="E1" s="16" t="str">
        <x:v>Expected Result</x:v>
      </x:c>
      <x:c r="F1" s="16" t="str">
        <x:v>Expected Activation / Blocker</x:v>
      </x:c>
      <x:c r="G1" s="16" t="str">
        <x:v>Priority</x:v>
      </x:c>
    </x:row>
    <x:row r="2">
      <x:c r="A2" s="10" t="str">
        <x:v>GOLD-001</x:v>
      </x:c>
      <x:c r="B2" s="10" t="str">
        <x:v>GP-TUG-HARBOUR</x:v>
      </x:c>
      <x:c r="C2" s="10" t="str">
        <x:v>Normal verified inputs</x:v>
      </x:c>
      <x:c r="D2" s="10" t="str">
        <x:v>RULE-ISM-7-TUG</x:v>
      </x:c>
      <x:c r="E2" s="10" t="str">
        <x:v>APPLICABLE</x:v>
      </x:c>
      <x:c r="F2" s="10" t="str">
        <x:v>Towage workflow screens activated</x:v>
      </x:c>
      <x:c r="G2" s="10" t="str">
        <x:v>P0</x:v>
      </x:c>
    </x:row>
    <x:row r="3">
      <x:c r="A3" s="10" t="str">
        <x:v>GOLD-002</x:v>
      </x:c>
      <x:c r="B3" s="10" t="str">
        <x:v>GP-TUG-HARBOUR</x:v>
      </x:c>
      <x:c r="C3" s="10" t="str">
        <x:v>M79 pack TRUE + contract 2022 + winch fitted</x:v>
      </x:c>
      <x:c r="D3" s="10" t="str">
        <x:v>RULE-IACS-M79</x:v>
      </x:c>
      <x:c r="E3" s="10" t="str">
        <x:v>APPLICABLE</x:v>
      </x:c>
      <x:c r="F3" s="10" t="str">
        <x:v>ERS field/control/verification</x:v>
      </x:c>
      <x:c r="G3" s="10" t="str">
        <x:v>P0</x:v>
      </x:c>
    </x:row>
    <x:row r="4">
      <x:c r="A4" s="10" t="str">
        <x:v>GOLD-003</x:v>
      </x:c>
      <x:c r="B4" s="10" t="str">
        <x:v>GP-TUG-HARBOUR</x:v>
      </x:c>
      <x:c r="C4" s="10" t="str">
        <x:v>Class pack unknown</x:v>
      </x:c>
      <x:c r="D4" s="10" t="str">
        <x:v>RULE-IACS-M79</x:v>
      </x:c>
      <x:c r="E4" s="10" t="str">
        <x:v>REVIEW_REQUIRED</x:v>
      </x:c>
      <x:c r="F4" s="10" t="str">
        <x:v>No false READY; class review</x:v>
      </x:c>
      <x:c r="G4" s="10" t="str">
        <x:v>P0</x:v>
      </x:c>
    </x:row>
    <x:row r="5">
      <x:c r="A5" s="10" t="str">
        <x:v>GOLD-004</x:v>
      </x:c>
      <x:c r="B5" s="10" t="str">
        <x:v>GP-TUG-HARBOUR</x:v>
      </x:c>
      <x:c r="C5" s="10" t="str">
        <x:v>MSMD unverified</x:v>
      </x:c>
      <x:c r="D5" s="10" t="str">
        <x:v>RULE-TR-TUG-MSMD</x:v>
      </x:c>
      <x:c r="E5" s="10" t="str">
        <x:v>APPLICABLE + readiness review</x:v>
      </x:c>
      <x:c r="F5" s="10" t="str">
        <x:v>minimum_manning_state blocks full READY</x:v>
      </x:c>
      <x:c r="G5" s="10" t="str">
        <x:v>P0</x:v>
      </x:c>
    </x:row>
    <x:row r="6">
      <x:c r="A6" s="10" t="str">
        <x:v>GOLD-005</x:v>
      </x:c>
      <x:c r="B6" s="10" t="str">
        <x:v>GP-TUG-ESCORT</x:v>
      </x:c>
      <x:c r="C6" s="10" t="str">
        <x:v>Area=Istanbul Strait + Escort</x:v>
      </x:c>
      <x:c r="D6" s="10" t="str">
        <x:v>RULE-TR-TUG-ESCORT-EXTRA</x:v>
      </x:c>
      <x:c r="E6" s="10" t="str">
        <x:v>REVIEW_REQUIRED/APPLICABLE per validated source</x:v>
      </x:c>
      <x:c r="F6" s="10" t="str">
        <x:v>Extra Able Seaman requirement visible with source lifecycle</x:v>
      </x:c>
      <x:c r="G6" s="10" t="str">
        <x:v>P0</x:v>
      </x:c>
    </x:row>
    <x:row r="7">
      <x:c r="A7" s="10" t="str">
        <x:v>GOLD-006</x:v>
      </x:c>
      <x:c r="B7" s="10" t="str">
        <x:v>GP-TUG-OCEAN</x:v>
      </x:c>
      <x:c r="C7" s="10" t="str">
        <x:v>operation profile solely long-distance ocean towage</x:v>
      </x:c>
      <x:c r="D7" s="10" t="str">
        <x:v>RULE-IACS-M79</x:v>
      </x:c>
      <x:c r="E7" s="10" t="str">
        <x:v>NOT_APPLICABLE</x:v>
      </x:c>
      <x:c r="F7" s="10" t="str">
        <x:v>Ocean towage pack considered separately</x:v>
      </x:c>
      <x:c r="G7" s="10" t="str">
        <x:v>P0</x:v>
      </x:c>
    </x:row>
    <x:row r="8">
      <x:c r="A8" s="10" t="str">
        <x:v>GOLD-007</x:v>
      </x:c>
      <x:c r="B8" s="10" t="str">
        <x:v>GP-SHIP-OIL-TR</x:v>
      </x:c>
      <x:c r="C8" s="10" t="str">
        <x:v>Oil tanker</x:v>
      </x:c>
      <x:c r="D8" s="10" t="str">
        <x:v>RULE-STCW-V-TANKER</x:v>
      </x:c>
      <x:c r="E8" s="10" t="str">
        <x:v>APPLICABLE</x:v>
      </x:c>
      <x:c r="F8" s="10" t="str">
        <x:v>Special tanker training controls</x:v>
      </x:c>
      <x:c r="G8" s="10" t="str">
        <x:v>P0</x:v>
      </x:c>
    </x:row>
    <x:row r="9">
      <x:c r="A9" s="10" t="str">
        <x:v>GOLD-008</x:v>
      </x:c>
      <x:c r="B9" s="10" t="str">
        <x:v>GP-SHIP-DG</x:v>
      </x:c>
      <x:c r="C9" s="10" t="str">
        <x:v>Packaged DG=true on 2026-10-04</x:v>
      </x:c>
      <x:c r="D9" s="10" t="str">
        <x:v>RULE-IMDG-42-24</x:v>
      </x:c>
      <x:c r="E9" s="10" t="str">
        <x:v>APPLICABLE</x:v>
      </x:c>
      <x:c r="F9" s="10" t="str">
        <x:v>IMDG control/evidence</x:v>
      </x:c>
      <x:c r="G9" s="10" t="str">
        <x:v>P0</x:v>
      </x:c>
    </x:row>
    <x:row r="10">
      <x:c r="A10" s="10" t="str">
        <x:v>GOLD-009</x:v>
      </x:c>
      <x:c r="B10" s="10" t="str">
        <x:v>GP-SHIP-DG</x:v>
      </x:c>
      <x:c r="C10" s="10" t="str">
        <x:v>Packaged DG unknown</x:v>
      </x:c>
      <x:c r="D10" s="10" t="str">
        <x:v>RULE-IMDG-42-24</x:v>
      </x:c>
      <x:c r="E10" s="10" t="str">
        <x:v>REVIEW_REQUIRED</x:v>
      </x:c>
      <x:c r="F10" s="10" t="str">
        <x:v>Cargo data review</x:v>
      </x:c>
      <x:c r="G10" s="10" t="str">
        <x:v>P0</x:v>
      </x:c>
    </x:row>
    <x:row r="11">
      <x:c r="A11" s="10" t="str">
        <x:v>GOLD-010</x:v>
      </x:c>
      <x:c r="B11" s="10" t="str">
        <x:v>Any MLC applicable</x:v>
      </x:c>
      <x:c r="C11" s="10" t="str">
        <x:v>evaluationDate=2026-10-04</x:v>
      </x:c>
      <x:c r="D11" s="10" t="str">
        <x:v>RULE-MLC-2025-FUTURE</x:v>
      </x:c>
      <x:c r="E11" s="10" t="str">
        <x:v>NOT_CURRENT</x:v>
      </x:c>
      <x:c r="F11" s="10" t="str">
        <x:v>Change Radar only; no current compliance state effect</x:v>
      </x:c>
      <x:c r="G11" s="10" t="str">
        <x:v>P0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65" hidden="0" customWidth="1"/>
    <x:col min="4" max="4" width="42" hidden="0" customWidth="1"/>
    <x:col min="6" max="6" width="28" hidden="0" customWidth="1"/>
    <x:col min="7" max="7" width="24" hidden="0" customWidth="1"/>
    <x:col min="8" max="8" width="55" hidden="0" customWidth="1"/>
  </x:cols>
  <x:sheetData>
    <x:row r="1">
      <x:c r="A1" s="19" t="str">
        <x:v>Reference Simulator — Production engine yerine geçmez</x:v>
      </x:c>
      <x:c r="B1" s="19"/>
      <x:c r="C1" s="19"/>
      <x:c r="D1" s="19"/>
    </x:row>
    <x:row r="3">
      <x:c r="A3" s="26" t="str">
        <x:v>Input</x:v>
      </x:c>
      <x:c r="B3" s="26" t="str">
        <x:v>Value</x:v>
      </x:c>
      <x:c r="C3" s="26" t="str">
        <x:v>Allowed / Note</x:v>
      </x:c>
      <x:c r="D3" s="26" t="str">
        <x:v>Source</x:v>
      </x:c>
      <x:c r="F3" s="26" t="str">
        <x:v>Rule</x:v>
      </x:c>
      <x:c r="G3" s="26" t="str">
        <x:v>Result</x:v>
      </x:c>
      <x:c r="H3" s="26" t="str">
        <x:v>Reason</x:v>
      </x:c>
    </x:row>
    <x:row r="4">
      <x:c r="A4" s="10" t="str">
        <x:v>Mode</x:v>
      </x:c>
      <x:c r="B4" s="10" t="str">
        <x:v>TUG</x:v>
      </x:c>
      <x:c r="C4" s="10" t="str">
        <x:v>SHIP; TUG</x:v>
      </x:c>
      <x:c r="D4" s="10" t="str">
        <x:v>context.mode</x:v>
      </x:c>
      <x:c r="F4" s="10" t="str">
        <x:v>ISM §7 Tug</x:v>
      </x:c>
      <x:c r="G4" s="10" t="str">
        <x:f>IF(B4="TUG","APPLICABLE","NOT_APPLICABLE")</x:f>
        <x:v>APPLICABLE</x:v>
      </x:c>
      <x:c r="H4" s="10" t="str">
        <x:f>IF(B4="TUG","Tug mode","Ship mode")</x:f>
        <x:v>Tug mode</x:v>
      </x:c>
    </x:row>
    <x:row r="5">
      <x:c r="A5" s="10" t="str">
        <x:v>Flag</x:v>
      </x:c>
      <x:c r="B5" s="10" t="str">
        <x:v>TR</x:v>
      </x:c>
      <x:c r="C5" s="10" t="str">
        <x:v>ISO/controlled</x:v>
      </x:c>
      <x:c r="D5" s="10" t="str">
        <x:v>vessel.flag</x:v>
      </x:c>
      <x:c r="F5" s="10" t="str">
        <x:v>IACS M79</x:v>
      </x:c>
      <x:c r="G5" s="10" t="str">
        <x:f>IF(B4&lt;&gt;"TUG","NOT_APPLICABLE",IF(OR(B10="UNKNOWN",B11="UNKNOWN"),"REVIEW_REQUIRED",IF(AND(B10="YES",B11="YES",B8&gt;=DATE(2021,7,1),B9&lt;&gt;"OCEAN_TOWAGE"),"APPLICABLE","NOT_APPLICABLE")))</x:f>
        <x:v>NOT_APPLICABLE</x:v>
      </x:c>
      <x:c r="H5" s="10" t="str">
        <x:f>IF(G5="REVIEW_REQUIRED","Missing/uncertain class or equipment input",IF(G5="APPLICABLE","Tug + winch + M79 pack + date + operation profile","Predicate not met"))</x:f>
        <x:v>Predicate not met</x:v>
      </x:c>
    </x:row>
    <x:row r="6">
      <x:c r="A6" s="10" t="str">
        <x:v>Vessel Type</x:v>
      </x:c>
      <x:c r="B6" s="10" t="str">
        <x:v>ASD_TUG</x:v>
      </x:c>
      <x:c r="C6" s="10" t="str">
        <x:v>ASD_TUG; OCEAN_TUG; OIL_TANKER; CHEMICAL_TANKER; GAS_CARRIER; CONTAINER</x:v>
      </x:c>
      <x:c r="D6" s="10" t="str">
        <x:v>vessel.type</x:v>
      </x:c>
      <x:c r="F6" s="10" t="str">
        <x:v>TR Tug MSMD</x:v>
      </x:c>
      <x:c r="G6" s="10" t="str">
        <x:f>IF(AND(B4="TUG",B5="TR"),IF(B12="UNKNOWN","REVIEW_REQUIRED","APPLICABLE"),"NOT_APPLICABLE")</x:f>
        <x:v>APPLICABLE</x:v>
      </x:c>
      <x:c r="H6" s="10" t="str">
        <x:f>IF(G6="REVIEW_REQUIRED","MSMD status unknown",IF(G6="APPLICABLE","TR Tug MSMD control required","Not TR Tug"))</x:f>
        <x:v>TR Tug MSMD control required</x:v>
      </x:c>
    </x:row>
    <x:row r="7">
      <x:c r="A7" s="10" t="str">
        <x:v>GT</x:v>
      </x:c>
      <x:c r="B7" s="10" t="n">
        <x:v>420</x:v>
      </x:c>
      <x:c r="C7" s="10" t="str">
        <x:v>Numeric</x:v>
      </x:c>
      <x:c r="D7" s="10" t="str">
        <x:v>vessel.gt</x:v>
      </x:c>
      <x:c r="F7" s="10" t="str">
        <x:v>STCW V Tanker</x:v>
      </x:c>
      <x:c r="G7" s="10" t="str">
        <x:f>IF(AND(B4="SHIP",OR(B6="OIL_TANKER",B6="CHEMICAL_TANKER",B6="GAS_CARRIER")),"APPLICABLE","NOT_APPLICABLE")</x:f>
        <x:v>NOT_APPLICABLE</x:v>
      </x:c>
      <x:c r="H7" s="10" t="str">
        <x:f>IF(G7="APPLICABLE","Tanker special training","Not tanker ship")</x:f>
        <x:v>Not tanker ship</x:v>
      </x:c>
    </x:row>
    <x:row r="8">
      <x:c r="A8" s="10" t="str">
        <x:v>kW</x:v>
      </x:c>
      <x:c r="B8" s="28" t="n">
        <x:v>3600</x:v>
      </x:c>
      <x:c r="C8" s="10" t="str">
        <x:v>Numeric</x:v>
      </x:c>
      <x:c r="D8" s="10" t="str">
        <x:v>vessel.mainPropulsionKw</x:v>
      </x:c>
      <x:c r="F8" s="10" t="str">
        <x:v>IMDG 42-24</x:v>
      </x:c>
      <x:c r="G8" s="10" t="str">
        <x:f>IF(B4&lt;&gt;"SHIP","NOT_APPLICABLE",IF(B13="UNKNOWN","REVIEW_REQUIRED",IF(B13="YES","APPLICABLE","NOT_APPLICABLE")))</x:f>
        <x:v>NOT_APPLICABLE</x:v>
      </x:c>
      <x:c r="H8" s="10" t="str">
        <x:f>IF(G8="REVIEW_REQUIRED","Cargo DG input unknown",IF(G8="APPLICABLE","Packaged DG","No packaged DG"))</x:f>
        <x:v>No packaged DG</x:v>
      </x:c>
    </x:row>
    <x:row r="9">
      <x:c r="A9" s="10" t="str">
        <x:v>Contract Date</x:v>
      </x:c>
      <x:c r="B9" s="10" t="n">
        <x:v>44634</x:v>
      </x:c>
      <x:c r="C9" s="10" t="str">
        <x:v>Date</x:v>
      </x:c>
      <x:c r="D9" s="10" t="str">
        <x:v>vessel.contractForConstructionDate</x:v>
      </x:c>
      <x:c r="F9" s="10" t="str">
        <x:v>Ocean Towage Pack</x:v>
      </x:c>
      <x:c r="G9" s="10" t="str">
        <x:f>IF(AND(B4="TUG",B9="OCEAN_TOWAGE"),"APPLICABLE","NOT_APPLICABLE")</x:f>
        <x:v>NOT_APPLICABLE</x:v>
      </x:c>
      <x:c r="H9" s="10" t="str">
        <x:f>IF(G9="APPLICABLE","Use ocean towage suitability/class pack","Not ocean towage")</x:f>
        <x:v>Not ocean towage</x:v>
      </x:c>
    </x:row>
    <x:row r="10">
      <x:c r="A10" s="10" t="str">
        <x:v>Job / Cargo</x:v>
      </x:c>
      <x:c r="B10" s="10" t="str">
        <x:v>HARBOUR_ASSIST</x:v>
      </x:c>
      <x:c r="C10" s="10" t="str">
        <x:v>HARBOUR_ASSIST; ESCORT; OCEAN_TOWAGE; PACKAGED_DG; NLS</x:v>
      </x:c>
      <x:c r="D10" s="10" t="str">
        <x:v>operation.jobType/cargo</x:v>
      </x:c>
    </x:row>
    <x:row r="11">
      <x:c r="A11" s="10" t="str">
        <x:v>Winch Fitted</x:v>
      </x:c>
      <x:c r="B11" s="10" t="str">
        <x:v>YES</x:v>
      </x:c>
      <x:c r="C11" s="10" t="str">
        <x:v>YES; NO</x:v>
      </x:c>
      <x:c r="D11" s="10" t="str">
        <x:v>equipment.towingWinchFitted</x:v>
      </x:c>
    </x:row>
    <x:row r="12">
      <x:c r="A12" s="10" t="str">
        <x:v>M79 Pack Known</x:v>
      </x:c>
      <x:c r="B12" s="10" t="str">
        <x:v>YES</x:v>
      </x:c>
      <x:c r="C12" s="10" t="str">
        <x:v>YES; NO; UNKNOWN</x:v>
      </x:c>
      <x:c r="D12" s="10" t="str">
        <x:v>class.rulePack.IACS_M79</x:v>
      </x:c>
    </x:row>
    <x:row r="13">
      <x:c r="A13" s="10" t="str">
        <x:v>MSMD Verified</x:v>
      </x:c>
      <x:c r="B13" s="10" t="str">
        <x:v>YES</x:v>
      </x:c>
      <x:c r="C13" s="10" t="str">
        <x:v>YES; NO; UNKNOWN</x:v>
      </x:c>
      <x:c r="D13" s="10" t="str">
        <x:v>regulatory.msmdVerified</x:v>
      </x:c>
    </x:row>
    <x:row r="14">
      <x:c r="A14" s="10" t="str">
        <x:v>Packaged DG</x:v>
      </x:c>
      <x:c r="B14" s="10" t="str">
        <x:v>NO</x:v>
      </x:c>
      <x:c r="C14" s="10" t="str">
        <x:v>YES; NO; UNKNOWN</x:v>
      </x:c>
      <x:c r="D14" s="10" t="str">
        <x:v>cargo.packagedDangerousGoods</x:v>
      </x:c>
    </x:row>
    <x:row r="15">
      <x:c r="A15" s="10"/>
      <x:c r="B15" s="10"/>
      <x:c r="C15" s="10"/>
      <x:c r="D15" s="10"/>
    </x:row>
    <x:row r="16">
      <x:c r="A16" s="10"/>
      <x:c r="B16" s="10"/>
      <x:c r="C16" s="10"/>
      <x:c r="D16" s="10"/>
    </x:row>
    <x:row r="17">
      <x:c r="A17" s="10"/>
      <x:c r="B17" s="10"/>
      <x:c r="C17" s="10"/>
      <x:c r="D17" s="10"/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</x:sheetData>
  <x:mergeCells>
    <x:mergeCell ref="A1:D1"/>
  </x:mergeCells>
  <x:conditionalFormatting sqref="G4:G9">
    <x:cfRule type="expression" dxfId="0" priority="1">
      <x:formula>G4="APPLICABLE"</x:formula>
    </x:cfRule>
    <x:cfRule type="expression" dxfId="1" priority="2">
      <x:formula>G4="REVIEW_REQUIRED"</x:formula>
    </x:cfRule>
    <x:cfRule type="expression" dxfId="2" priority="3">
      <x:formula>G4="NOT_APPLICABLE"</x:formula>
    </x:cfRule>
  </x:conditionalFormatting>
  <x:dataValidations count="6">
    <x:dataValidation type="list" sqref="B4">
      <x:formula1>"SHIP,TUG"</x:formula1>
    </x:dataValidation>
    <x:dataValidation type="list" sqref="B5">
      <x:formula1>"TR,OTHER"</x:formula1>
    </x:dataValidation>
    <x:dataValidation type="list" sqref="B6">
      <x:formula1>"ASD_TUG,OCEAN_TUG,OIL_TANKER,CHEMICAL_TANKER,GAS_CARRIER,CONTAINER"</x:formula1>
    </x:dataValidation>
    <x:dataValidation type="list" sqref="B10:B12">
      <x:formula1>"YES,NO,UNKNOWN"</x:formula1>
    </x:dataValidation>
    <x:dataValidation type="list" sqref="B13">
      <x:formula1>"YES,NO,UNKNOWN"</x:formula1>
    </x:dataValidation>
    <x:dataValidation type="list" sqref="B9">
      <x:formula1>"HARBOUR_ASSIST,ESCORT,OCEAN_TOWAGE,PACKAGED_DG,NLS"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62" hidden="0" customWidth="1"/>
  </x:cols>
  <x:sheetData>
    <x:row r="1">
      <x:c r="A1" s="16" t="str">
        <x:v>State</x:v>
      </x:c>
      <x:c r="B1" s="16" t="str">
        <x:v>Can affect current compliance?</x:v>
      </x:c>
      <x:c r="C1" s="16" t="str">
        <x:v>Allowed actions</x:v>
      </x:c>
      <x:c r="D1" s="16" t="str">
        <x:v>Required controls</x:v>
      </x:c>
    </x:row>
    <x:row r="2">
      <x:c r="A2" s="10" t="str">
        <x:v>DRAFT</x:v>
      </x:c>
      <x:c r="B2" s="10" t="str">
        <x:v>No</x:v>
      </x:c>
      <x:c r="C2" s="10" t="str">
        <x:v>Edit/test</x:v>
      </x:c>
      <x:c r="D2" s="10" t="str">
        <x:v>Author + source ref</x:v>
      </x:c>
    </x:row>
    <x:row r="3">
      <x:c r="A3" s="10" t="str">
        <x:v>ADOPTED</x:v>
      </x:c>
      <x:c r="B3" s="10" t="str">
        <x:v>No, until effective date</x:v>
      </x:c>
      <x:c r="C3" s="10" t="str">
        <x:v>Review/approve/schedule</x:v>
      </x:c>
      <x:c r="D3" s="10" t="str">
        <x:v>Reviewer + effective date</x:v>
      </x:c>
    </x:row>
    <x:row r="4">
      <x:c r="A4" s="10" t="str">
        <x:v>AWAITING</x:v>
      </x:c>
      <x:c r="B4" s="10" t="str">
        <x:v>No</x:v>
      </x:c>
      <x:c r="C4" s="10" t="str">
        <x:v>Monitor external acceptance/conditions</x:v>
      </x:c>
      <x:c r="D4" s="10" t="str">
        <x:v>Source owner + trigger</x:v>
      </x:c>
    </x:row>
    <x:row r="5">
      <x:c r="A5" s="10" t="str">
        <x:v>FUTURE_EFFECTIVE</x:v>
      </x:c>
      <x:c r="B5" s="10" t="str">
        <x:v>No current effect; visible in Change Radar/Sandbox</x:v>
      </x:c>
      <x:c r="C5" s="10" t="str">
        <x:v>Impact analysis/MOC/training/config prep</x:v>
      </x:c>
      <x:c r="D5" s="10" t="str">
        <x:v>Effective date + impact sign-off</x:v>
      </x:c>
    </x:row>
    <x:row r="6">
      <x:c r="A6" s="10" t="str">
        <x:v>IN_FORCE</x:v>
      </x:c>
      <x:c r="B6" s="10" t="str">
        <x:v>Yes</x:v>
      </x:c>
      <x:c r="C6" s="10" t="str">
        <x:v>Evaluate/publish correction by new version only</x:v>
      </x:c>
      <x:c r="D6" s="10" t="str">
        <x:v>Approved immutable version</x:v>
      </x:c>
    </x:row>
    <x:row r="7">
      <x:c r="A7" s="10" t="str">
        <x:v>SUPERSEDED</x:v>
      </x:c>
      <x:c r="B7" s="10" t="str">
        <x:v>No new current obligations; historical replay only</x:v>
      </x:c>
      <x:c r="C7" s="10" t="str">
        <x:v>Read/history</x:v>
      </x:c>
      <x:c r="D7" s="10" t="str">
        <x:v>Superseding version link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0" hidden="0" customWidth="1"/>
    <x:col min="5" max="5" width="12" hidden="0" customWidth="1"/>
  </x:cols>
  <x:sheetData>
    <x:row r="1">
      <x:c r="A1" s="30" t="str">
        <x:v>POSEIDON v46.2 — Dynamic Applicability Engine Dashboard</x:v>
      </x:c>
      <x:c r="B1" s="30"/>
      <x:c r="C1" s="30"/>
      <x:c r="D1" s="30"/>
      <x:c r="E1" s="30"/>
      <x:c r="F1" s="30"/>
      <x:c r="G1" s="30"/>
      <x:c r="H1" s="30"/>
    </x:row>
    <x:row r="3">
      <x:c r="A3" s="23" t="str">
        <x:v>KPI</x:v>
      </x:c>
      <x:c r="B3" s="23" t="str">
        <x:v>Value</x:v>
      </x:c>
      <x:c r="D3" s="23" t="str">
        <x:v>Mode</x:v>
      </x:c>
      <x:c r="E3" s="23" t="str">
        <x:v>Rules</x:v>
      </x:c>
    </x:row>
    <x:row r="4">
      <x:c r="A4" t="str">
        <x:v>Input dimensions</x:v>
      </x:c>
      <x:c r="B4" t="n">
        <x:v>23</x:v>
      </x:c>
      <x:c r="D4" t="str">
        <x:v>SHIP</x:v>
      </x:c>
      <x:c r="E4" t="n">
        <x:v>8</x:v>
      </x:c>
    </x:row>
    <x:row r="5">
      <x:c r="A5" t="str">
        <x:v>Reference rules</x:v>
      </x:c>
      <x:c r="B5" t="n">
        <x:v>20</x:v>
      </x:c>
      <x:c r="D5" t="str">
        <x:v>TUG</x:v>
      </x:c>
      <x:c r="E5" t="n">
        <x:v>9</x:v>
      </x:c>
    </x:row>
    <x:row r="6">
      <x:c r="A6" t="str">
        <x:v>Golden profiles</x:v>
      </x:c>
      <x:c r="B6" t="n">
        <x:v>6</x:v>
      </x:c>
      <x:c r="D6" t="str">
        <x:v>BOTH</x:v>
      </x:c>
      <x:c r="E6" t="n">
        <x:v>3</x:v>
      </x:c>
    </x:row>
    <x:row r="7">
      <x:c r="A7" t="str">
        <x:v>Golden tests</x:v>
      </x:c>
      <x:c r="B7" t="n">
        <x:v>10</x:v>
      </x:c>
      <x:c r="D7" t="str">
        <x:v>TOTAL</x:v>
      </x:c>
      <x:c r="E7" t="n">
        <x:v>20</x:v>
      </x:c>
    </x:row>
    <x:row r="8">
      <x:c r="A8" t="str">
        <x:v>API endpoints</x:v>
      </x:c>
      <x:c r="B8" t="n">
        <x:v>8</x:v>
      </x:c>
    </x:row>
    <x:row r="9">
      <x:c r="A9" t="str">
        <x:v>Rule lifecycle states</x:v>
      </x:c>
      <x:c r="B9" t="n">
        <x:v>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aa6a74d9ee54ce0"/>
</x:worksheet>
</file>